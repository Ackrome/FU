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g G16\Downloads\"/>
    </mc:Choice>
  </mc:AlternateContent>
  <xr:revisionPtr revIDLastSave="0" documentId="13_ncr:1_{FE7BFC3F-49EE-4497-936F-3ECE0894A96F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Станд.норм.распр." sheetId="1" r:id="rId1"/>
    <sheet name="Задание" sheetId="2" r:id="rId2"/>
    <sheet name="1." sheetId="3" r:id="rId3"/>
    <sheet name="2." sheetId="4" r:id="rId4"/>
    <sheet name="3." sheetId="5" r:id="rId5"/>
    <sheet name="4." sheetId="6" r:id="rId6"/>
    <sheet name="5.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7" l="1"/>
  <c r="I12" i="7"/>
  <c r="J12" i="7"/>
  <c r="K12" i="7"/>
  <c r="L12" i="7"/>
  <c r="M12" i="7"/>
  <c r="N12" i="7"/>
  <c r="N13" i="7" s="1"/>
  <c r="N14" i="7" s="1"/>
  <c r="N15" i="7" s="1"/>
  <c r="N16" i="7" s="1"/>
  <c r="N17" i="7" s="1"/>
  <c r="O12" i="7"/>
  <c r="O13" i="7" s="1"/>
  <c r="O14" i="7" s="1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O34" i="7" s="1"/>
  <c r="O35" i="7" s="1"/>
  <c r="O36" i="7" s="1"/>
  <c r="O37" i="7" s="1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O59" i="7" s="1"/>
  <c r="O60" i="7" s="1"/>
  <c r="O61" i="7" s="1"/>
  <c r="O62" i="7" s="1"/>
  <c r="O63" i="7" s="1"/>
  <c r="O64" i="7" s="1"/>
  <c r="O65" i="7" s="1"/>
  <c r="O66" i="7" s="1"/>
  <c r="O67" i="7" s="1"/>
  <c r="O68" i="7" s="1"/>
  <c r="O69" i="7" s="1"/>
  <c r="O70" i="7" s="1"/>
  <c r="O71" i="7" s="1"/>
  <c r="O72" i="7" s="1"/>
  <c r="O73" i="7" s="1"/>
  <c r="O74" i="7" s="1"/>
  <c r="O75" i="7" s="1"/>
  <c r="O76" i="7" s="1"/>
  <c r="O77" i="7" s="1"/>
  <c r="O78" i="7" s="1"/>
  <c r="O79" i="7" s="1"/>
  <c r="O80" i="7" s="1"/>
  <c r="O81" i="7" s="1"/>
  <c r="O82" i="7" s="1"/>
  <c r="O83" i="7" s="1"/>
  <c r="O84" i="7" s="1"/>
  <c r="O85" i="7" s="1"/>
  <c r="O86" i="7" s="1"/>
  <c r="O87" i="7" s="1"/>
  <c r="O88" i="7" s="1"/>
  <c r="O89" i="7" s="1"/>
  <c r="O90" i="7" s="1"/>
  <c r="O91" i="7" s="1"/>
  <c r="O92" i="7" s="1"/>
  <c r="O93" i="7" s="1"/>
  <c r="O94" i="7" s="1"/>
  <c r="O95" i="7" s="1"/>
  <c r="O96" i="7" s="1"/>
  <c r="O97" i="7" s="1"/>
  <c r="O98" i="7" s="1"/>
  <c r="O99" i="7" s="1"/>
  <c r="O100" i="7" s="1"/>
  <c r="O101" i="7" s="1"/>
  <c r="O102" i="7" s="1"/>
  <c r="O103" i="7" s="1"/>
  <c r="O104" i="7" s="1"/>
  <c r="O105" i="7" s="1"/>
  <c r="O106" i="7" s="1"/>
  <c r="O107" i="7" s="1"/>
  <c r="O108" i="7" s="1"/>
  <c r="O109" i="7" s="1"/>
  <c r="P12" i="7"/>
  <c r="Q12" i="7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H13" i="7"/>
  <c r="I13" i="7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I73" i="7" s="1"/>
  <c r="I74" i="7" s="1"/>
  <c r="I75" i="7" s="1"/>
  <c r="I76" i="7" s="1"/>
  <c r="I77" i="7" s="1"/>
  <c r="I78" i="7" s="1"/>
  <c r="I79" i="7" s="1"/>
  <c r="I80" i="7" s="1"/>
  <c r="I81" i="7" s="1"/>
  <c r="I82" i="7" s="1"/>
  <c r="I83" i="7" s="1"/>
  <c r="I84" i="7" s="1"/>
  <c r="I85" i="7" s="1"/>
  <c r="I86" i="7" s="1"/>
  <c r="I87" i="7" s="1"/>
  <c r="I88" i="7" s="1"/>
  <c r="I89" i="7" s="1"/>
  <c r="I90" i="7" s="1"/>
  <c r="I91" i="7" s="1"/>
  <c r="I92" i="7" s="1"/>
  <c r="I93" i="7" s="1"/>
  <c r="I94" i="7" s="1"/>
  <c r="I95" i="7" s="1"/>
  <c r="I96" i="7" s="1"/>
  <c r="I97" i="7" s="1"/>
  <c r="I98" i="7" s="1"/>
  <c r="I99" i="7" s="1"/>
  <c r="I100" i="7" s="1"/>
  <c r="I101" i="7" s="1"/>
  <c r="I102" i="7" s="1"/>
  <c r="I103" i="7" s="1"/>
  <c r="I104" i="7" s="1"/>
  <c r="I105" i="7" s="1"/>
  <c r="I106" i="7" s="1"/>
  <c r="I107" i="7" s="1"/>
  <c r="I108" i="7" s="1"/>
  <c r="I109" i="7" s="1"/>
  <c r="J13" i="7"/>
  <c r="K13" i="7"/>
  <c r="L13" i="7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L103" i="7" s="1"/>
  <c r="L104" i="7" s="1"/>
  <c r="L105" i="7" s="1"/>
  <c r="L106" i="7" s="1"/>
  <c r="L107" i="7" s="1"/>
  <c r="L108" i="7" s="1"/>
  <c r="L109" i="7" s="1"/>
  <c r="M13" i="7"/>
  <c r="N18" i="7"/>
  <c r="N19" i="7" s="1"/>
  <c r="N20" i="7" s="1"/>
  <c r="N21" i="7" s="1"/>
  <c r="N22" i="7" s="1"/>
  <c r="N23" i="7" s="1"/>
  <c r="N24" i="7" s="1"/>
  <c r="N25" i="7" s="1"/>
  <c r="N26" i="7" s="1"/>
  <c r="N27" i="7"/>
  <c r="N28" i="7" s="1"/>
  <c r="N29" i="7" s="1"/>
  <c r="N30" i="7" s="1"/>
  <c r="N31" i="7" s="1"/>
  <c r="N32" i="7" s="1"/>
  <c r="N33" i="7" s="1"/>
  <c r="N34" i="7" s="1"/>
  <c r="N35" i="7" s="1"/>
  <c r="Q31" i="7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Q45" i="7" s="1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8" i="7" s="1"/>
  <c r="Q69" i="7" s="1"/>
  <c r="Q70" i="7" s="1"/>
  <c r="Q71" i="7" s="1"/>
  <c r="Q72" i="7" s="1"/>
  <c r="Q73" i="7" s="1"/>
  <c r="Q74" i="7" s="1"/>
  <c r="Q75" i="7" s="1"/>
  <c r="Q76" i="7" s="1"/>
  <c r="Q77" i="7" s="1"/>
  <c r="Q78" i="7" s="1"/>
  <c r="Q79" i="7" s="1"/>
  <c r="Q80" i="7" s="1"/>
  <c r="Q81" i="7" s="1"/>
  <c r="Q82" i="7" s="1"/>
  <c r="Q83" i="7" s="1"/>
  <c r="Q84" i="7" s="1"/>
  <c r="Q85" i="7" s="1"/>
  <c r="Q86" i="7" s="1"/>
  <c r="Q87" i="7" s="1"/>
  <c r="Q88" i="7" s="1"/>
  <c r="Q89" i="7" s="1"/>
  <c r="Q90" i="7" s="1"/>
  <c r="Q91" i="7" s="1"/>
  <c r="Q92" i="7" s="1"/>
  <c r="Q93" i="7" s="1"/>
  <c r="Q94" i="7" s="1"/>
  <c r="Q95" i="7" s="1"/>
  <c r="Q96" i="7" s="1"/>
  <c r="Q97" i="7" s="1"/>
  <c r="Q98" i="7" s="1"/>
  <c r="Q99" i="7" s="1"/>
  <c r="Q100" i="7" s="1"/>
  <c r="Q101" i="7" s="1"/>
  <c r="Q102" i="7" s="1"/>
  <c r="Q103" i="7" s="1"/>
  <c r="Q104" i="7" s="1"/>
  <c r="Q105" i="7" s="1"/>
  <c r="Q106" i="7" s="1"/>
  <c r="Q107" i="7" s="1"/>
  <c r="Q108" i="7" s="1"/>
  <c r="Q109" i="7" s="1"/>
  <c r="N36" i="7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2" i="7" s="1"/>
  <c r="N73" i="7" s="1"/>
  <c r="N74" i="7" s="1"/>
  <c r="N75" i="7" s="1"/>
  <c r="N76" i="7" s="1"/>
  <c r="N77" i="7" s="1"/>
  <c r="N78" i="7" s="1"/>
  <c r="N79" i="7" s="1"/>
  <c r="N80" i="7" s="1"/>
  <c r="N81" i="7" s="1"/>
  <c r="N82" i="7" s="1"/>
  <c r="N83" i="7" s="1"/>
  <c r="N84" i="7" s="1"/>
  <c r="N85" i="7" s="1"/>
  <c r="N86" i="7" s="1"/>
  <c r="N87" i="7" s="1"/>
  <c r="N88" i="7" s="1"/>
  <c r="N89" i="7" s="1"/>
  <c r="N90" i="7" s="1"/>
  <c r="N91" i="7" s="1"/>
  <c r="N92" i="7" s="1"/>
  <c r="N93" i="7" s="1"/>
  <c r="N94" i="7" s="1"/>
  <c r="N95" i="7" s="1"/>
  <c r="N96" i="7" s="1"/>
  <c r="N97" i="7" s="1"/>
  <c r="N98" i="7" s="1"/>
  <c r="N99" i="7" s="1"/>
  <c r="N100" i="7" s="1"/>
  <c r="N101" i="7" s="1"/>
  <c r="N102" i="7" s="1"/>
  <c r="N103" i="7" s="1"/>
  <c r="N104" i="7" s="1"/>
  <c r="N105" i="7" s="1"/>
  <c r="N106" i="7" s="1"/>
  <c r="N107" i="7" s="1"/>
  <c r="N108" i="7" s="1"/>
  <c r="N109" i="7" s="1"/>
  <c r="Q11" i="7"/>
  <c r="I11" i="7"/>
  <c r="J11" i="7"/>
  <c r="K11" i="7"/>
  <c r="L11" i="7"/>
  <c r="M11" i="7"/>
  <c r="N11" i="7"/>
  <c r="O11" i="7"/>
  <c r="P11" i="7"/>
  <c r="H11" i="7"/>
  <c r="H10" i="7"/>
  <c r="Q10" i="7"/>
  <c r="P10" i="7"/>
  <c r="O10" i="7"/>
  <c r="N10" i="7"/>
  <c r="M10" i="7"/>
  <c r="L10" i="7"/>
  <c r="K10" i="7"/>
  <c r="J10" i="7"/>
  <c r="I10" i="7"/>
  <c r="H12" i="6"/>
  <c r="I12" i="6"/>
  <c r="J12" i="6"/>
  <c r="K3" i="6" s="1" a="1"/>
  <c r="K12" i="6"/>
  <c r="L12" i="6"/>
  <c r="M12" i="6"/>
  <c r="T3" i="6" s="1" a="1"/>
  <c r="N12" i="6"/>
  <c r="O12" i="6"/>
  <c r="P12" i="6"/>
  <c r="Q12" i="6"/>
  <c r="H13" i="6"/>
  <c r="I13" i="6"/>
  <c r="H3" i="6" s="1" a="1"/>
  <c r="J13" i="6"/>
  <c r="K13" i="6"/>
  <c r="L13" i="6"/>
  <c r="Q3" i="6" s="1" a="1"/>
  <c r="M13" i="6"/>
  <c r="N13" i="6"/>
  <c r="O13" i="6"/>
  <c r="P13" i="6"/>
  <c r="Q13" i="6"/>
  <c r="H14" i="6"/>
  <c r="I14" i="6"/>
  <c r="J14" i="6"/>
  <c r="K14" i="6"/>
  <c r="L14" i="6"/>
  <c r="M14" i="6"/>
  <c r="N14" i="6"/>
  <c r="W3" i="6" s="1" a="1"/>
  <c r="O14" i="6"/>
  <c r="P14" i="6"/>
  <c r="Q14" i="6"/>
  <c r="H15" i="6"/>
  <c r="I15" i="6"/>
  <c r="J15" i="6"/>
  <c r="K15" i="6"/>
  <c r="L15" i="6"/>
  <c r="M15" i="6"/>
  <c r="N15" i="6"/>
  <c r="O15" i="6"/>
  <c r="P15" i="6"/>
  <c r="Q15" i="6"/>
  <c r="H16" i="6"/>
  <c r="I16" i="6"/>
  <c r="J16" i="6"/>
  <c r="K16" i="6"/>
  <c r="L16" i="6"/>
  <c r="M16" i="6"/>
  <c r="N16" i="6"/>
  <c r="O16" i="6"/>
  <c r="P16" i="6"/>
  <c r="Q16" i="6"/>
  <c r="H17" i="6"/>
  <c r="I17" i="6"/>
  <c r="J17" i="6"/>
  <c r="K17" i="6"/>
  <c r="L17" i="6"/>
  <c r="M17" i="6"/>
  <c r="N17" i="6"/>
  <c r="O17" i="6"/>
  <c r="P17" i="6"/>
  <c r="Q17" i="6"/>
  <c r="H18" i="6"/>
  <c r="I18" i="6"/>
  <c r="J18" i="6"/>
  <c r="K18" i="6"/>
  <c r="L18" i="6"/>
  <c r="M18" i="6"/>
  <c r="N18" i="6"/>
  <c r="O18" i="6"/>
  <c r="P18" i="6"/>
  <c r="Q18" i="6"/>
  <c r="H19" i="6"/>
  <c r="I19" i="6"/>
  <c r="J19" i="6"/>
  <c r="K19" i="6"/>
  <c r="L19" i="6"/>
  <c r="M19" i="6"/>
  <c r="N19" i="6"/>
  <c r="O19" i="6"/>
  <c r="P19" i="6"/>
  <c r="Q19" i="6"/>
  <c r="H20" i="6"/>
  <c r="I20" i="6"/>
  <c r="J20" i="6"/>
  <c r="K20" i="6"/>
  <c r="L20" i="6"/>
  <c r="M20" i="6"/>
  <c r="N20" i="6"/>
  <c r="O20" i="6"/>
  <c r="P20" i="6"/>
  <c r="Q20" i="6"/>
  <c r="H21" i="6"/>
  <c r="I21" i="6"/>
  <c r="J21" i="6"/>
  <c r="K21" i="6"/>
  <c r="L21" i="6"/>
  <c r="M21" i="6"/>
  <c r="N21" i="6"/>
  <c r="O21" i="6"/>
  <c r="P21" i="6"/>
  <c r="Q21" i="6"/>
  <c r="H22" i="6"/>
  <c r="I22" i="6"/>
  <c r="J22" i="6"/>
  <c r="K22" i="6"/>
  <c r="L22" i="6"/>
  <c r="M22" i="6"/>
  <c r="N22" i="6"/>
  <c r="O22" i="6"/>
  <c r="P22" i="6"/>
  <c r="Q22" i="6"/>
  <c r="H23" i="6"/>
  <c r="I23" i="6"/>
  <c r="J23" i="6"/>
  <c r="K23" i="6"/>
  <c r="L23" i="6"/>
  <c r="M23" i="6"/>
  <c r="N23" i="6"/>
  <c r="O23" i="6"/>
  <c r="P23" i="6"/>
  <c r="Q23" i="6"/>
  <c r="H24" i="6"/>
  <c r="I24" i="6"/>
  <c r="J24" i="6"/>
  <c r="K24" i="6"/>
  <c r="L24" i="6"/>
  <c r="M24" i="6"/>
  <c r="N24" i="6"/>
  <c r="O24" i="6"/>
  <c r="P24" i="6"/>
  <c r="Q24" i="6"/>
  <c r="H25" i="6"/>
  <c r="I25" i="6"/>
  <c r="J25" i="6"/>
  <c r="K25" i="6"/>
  <c r="L25" i="6"/>
  <c r="M25" i="6"/>
  <c r="N25" i="6"/>
  <c r="O25" i="6"/>
  <c r="P25" i="6"/>
  <c r="Q25" i="6"/>
  <c r="H26" i="6"/>
  <c r="I26" i="6"/>
  <c r="J26" i="6"/>
  <c r="K26" i="6"/>
  <c r="L26" i="6"/>
  <c r="M26" i="6"/>
  <c r="N26" i="6"/>
  <c r="O26" i="6"/>
  <c r="P26" i="6"/>
  <c r="Q26" i="6"/>
  <c r="H27" i="6"/>
  <c r="I27" i="6"/>
  <c r="J27" i="6"/>
  <c r="K27" i="6"/>
  <c r="L27" i="6"/>
  <c r="M27" i="6"/>
  <c r="N27" i="6"/>
  <c r="O27" i="6"/>
  <c r="P27" i="6"/>
  <c r="Q27" i="6"/>
  <c r="H28" i="6"/>
  <c r="I28" i="6"/>
  <c r="J28" i="6"/>
  <c r="K28" i="6"/>
  <c r="L28" i="6"/>
  <c r="M28" i="6"/>
  <c r="N28" i="6"/>
  <c r="O28" i="6"/>
  <c r="P28" i="6"/>
  <c r="Q28" i="6"/>
  <c r="H29" i="6"/>
  <c r="I29" i="6"/>
  <c r="J29" i="6"/>
  <c r="K29" i="6"/>
  <c r="L29" i="6"/>
  <c r="M29" i="6"/>
  <c r="N29" i="6"/>
  <c r="O29" i="6"/>
  <c r="P29" i="6"/>
  <c r="Q29" i="6"/>
  <c r="H30" i="6"/>
  <c r="I30" i="6"/>
  <c r="J30" i="6"/>
  <c r="K30" i="6"/>
  <c r="L30" i="6"/>
  <c r="M30" i="6"/>
  <c r="N30" i="6"/>
  <c r="O30" i="6"/>
  <c r="P30" i="6"/>
  <c r="Q30" i="6"/>
  <c r="H31" i="6"/>
  <c r="I31" i="6"/>
  <c r="J31" i="6"/>
  <c r="K31" i="6"/>
  <c r="L31" i="6"/>
  <c r="M31" i="6"/>
  <c r="N31" i="6"/>
  <c r="O31" i="6"/>
  <c r="P31" i="6"/>
  <c r="Q31" i="6"/>
  <c r="H32" i="6"/>
  <c r="I32" i="6"/>
  <c r="J32" i="6"/>
  <c r="K32" i="6"/>
  <c r="L32" i="6"/>
  <c r="M32" i="6"/>
  <c r="N32" i="6"/>
  <c r="O32" i="6"/>
  <c r="P32" i="6"/>
  <c r="Q32" i="6"/>
  <c r="H33" i="6"/>
  <c r="I33" i="6"/>
  <c r="J33" i="6"/>
  <c r="K33" i="6"/>
  <c r="L33" i="6"/>
  <c r="M33" i="6"/>
  <c r="N33" i="6"/>
  <c r="O33" i="6"/>
  <c r="P33" i="6"/>
  <c r="Q33" i="6"/>
  <c r="H34" i="6"/>
  <c r="I34" i="6"/>
  <c r="J34" i="6"/>
  <c r="K34" i="6"/>
  <c r="L34" i="6"/>
  <c r="M34" i="6"/>
  <c r="N34" i="6"/>
  <c r="O34" i="6"/>
  <c r="P34" i="6"/>
  <c r="Q34" i="6"/>
  <c r="H35" i="6"/>
  <c r="I35" i="6"/>
  <c r="J35" i="6"/>
  <c r="K35" i="6"/>
  <c r="L35" i="6"/>
  <c r="M35" i="6"/>
  <c r="N35" i="6"/>
  <c r="O35" i="6"/>
  <c r="P35" i="6"/>
  <c r="Q35" i="6"/>
  <c r="H36" i="6"/>
  <c r="I36" i="6"/>
  <c r="J36" i="6"/>
  <c r="K36" i="6"/>
  <c r="L36" i="6"/>
  <c r="M36" i="6"/>
  <c r="N36" i="6"/>
  <c r="O36" i="6"/>
  <c r="P36" i="6"/>
  <c r="Q36" i="6"/>
  <c r="H37" i="6"/>
  <c r="I37" i="6"/>
  <c r="J37" i="6"/>
  <c r="K37" i="6"/>
  <c r="L37" i="6"/>
  <c r="M37" i="6"/>
  <c r="N37" i="6"/>
  <c r="O37" i="6"/>
  <c r="P37" i="6"/>
  <c r="Q37" i="6"/>
  <c r="H38" i="6"/>
  <c r="I38" i="6"/>
  <c r="J38" i="6"/>
  <c r="K38" i="6"/>
  <c r="L38" i="6"/>
  <c r="M38" i="6"/>
  <c r="N38" i="6"/>
  <c r="O38" i="6"/>
  <c r="P38" i="6"/>
  <c r="Q38" i="6"/>
  <c r="H39" i="6"/>
  <c r="I39" i="6"/>
  <c r="J39" i="6"/>
  <c r="K39" i="6"/>
  <c r="L39" i="6"/>
  <c r="M39" i="6"/>
  <c r="N39" i="6"/>
  <c r="O39" i="6"/>
  <c r="P39" i="6"/>
  <c r="Q39" i="6"/>
  <c r="H40" i="6"/>
  <c r="I40" i="6"/>
  <c r="J40" i="6"/>
  <c r="K40" i="6"/>
  <c r="L40" i="6"/>
  <c r="M40" i="6"/>
  <c r="N40" i="6"/>
  <c r="O40" i="6"/>
  <c r="P40" i="6"/>
  <c r="Q40" i="6"/>
  <c r="H41" i="6"/>
  <c r="I41" i="6"/>
  <c r="J41" i="6"/>
  <c r="K41" i="6"/>
  <c r="L41" i="6"/>
  <c r="M41" i="6"/>
  <c r="N41" i="6"/>
  <c r="O41" i="6"/>
  <c r="P41" i="6"/>
  <c r="Q41" i="6"/>
  <c r="H42" i="6"/>
  <c r="I42" i="6"/>
  <c r="J42" i="6"/>
  <c r="K42" i="6"/>
  <c r="L42" i="6"/>
  <c r="M42" i="6"/>
  <c r="N42" i="6"/>
  <c r="O42" i="6"/>
  <c r="P42" i="6"/>
  <c r="Q42" i="6"/>
  <c r="H43" i="6"/>
  <c r="I43" i="6"/>
  <c r="J43" i="6"/>
  <c r="K43" i="6"/>
  <c r="L43" i="6"/>
  <c r="M43" i="6"/>
  <c r="N43" i="6"/>
  <c r="O43" i="6"/>
  <c r="P43" i="6"/>
  <c r="Q43" i="6"/>
  <c r="H44" i="6"/>
  <c r="I44" i="6"/>
  <c r="J44" i="6"/>
  <c r="K44" i="6"/>
  <c r="L44" i="6"/>
  <c r="M44" i="6"/>
  <c r="N44" i="6"/>
  <c r="O44" i="6"/>
  <c r="P44" i="6"/>
  <c r="Q44" i="6"/>
  <c r="H45" i="6"/>
  <c r="I45" i="6"/>
  <c r="J45" i="6"/>
  <c r="K45" i="6"/>
  <c r="L45" i="6"/>
  <c r="M45" i="6"/>
  <c r="N45" i="6"/>
  <c r="O45" i="6"/>
  <c r="P45" i="6"/>
  <c r="Q45" i="6"/>
  <c r="H46" i="6"/>
  <c r="I46" i="6"/>
  <c r="J46" i="6"/>
  <c r="K46" i="6"/>
  <c r="L46" i="6"/>
  <c r="M46" i="6"/>
  <c r="N46" i="6"/>
  <c r="O46" i="6"/>
  <c r="P46" i="6"/>
  <c r="Q46" i="6"/>
  <c r="H47" i="6"/>
  <c r="I47" i="6"/>
  <c r="J47" i="6"/>
  <c r="K47" i="6"/>
  <c r="L47" i="6"/>
  <c r="M47" i="6"/>
  <c r="N47" i="6"/>
  <c r="O47" i="6"/>
  <c r="P47" i="6"/>
  <c r="Q47" i="6"/>
  <c r="H48" i="6"/>
  <c r="I48" i="6"/>
  <c r="J48" i="6"/>
  <c r="K48" i="6"/>
  <c r="L48" i="6"/>
  <c r="M48" i="6"/>
  <c r="N48" i="6"/>
  <c r="O48" i="6"/>
  <c r="P48" i="6"/>
  <c r="Q48" i="6"/>
  <c r="H49" i="6"/>
  <c r="I49" i="6"/>
  <c r="J49" i="6"/>
  <c r="K49" i="6"/>
  <c r="L49" i="6"/>
  <c r="M49" i="6"/>
  <c r="N49" i="6"/>
  <c r="O49" i="6"/>
  <c r="P49" i="6"/>
  <c r="Q49" i="6"/>
  <c r="H50" i="6"/>
  <c r="I50" i="6"/>
  <c r="J50" i="6"/>
  <c r="K50" i="6"/>
  <c r="L50" i="6"/>
  <c r="M50" i="6"/>
  <c r="N50" i="6"/>
  <c r="O50" i="6"/>
  <c r="P50" i="6"/>
  <c r="Q50" i="6"/>
  <c r="H51" i="6"/>
  <c r="I51" i="6"/>
  <c r="J51" i="6"/>
  <c r="K51" i="6"/>
  <c r="L51" i="6"/>
  <c r="M51" i="6"/>
  <c r="N51" i="6"/>
  <c r="O51" i="6"/>
  <c r="P51" i="6"/>
  <c r="Q51" i="6"/>
  <c r="H52" i="6"/>
  <c r="I52" i="6"/>
  <c r="J52" i="6"/>
  <c r="K52" i="6"/>
  <c r="L52" i="6"/>
  <c r="M52" i="6"/>
  <c r="N52" i="6"/>
  <c r="O52" i="6"/>
  <c r="P52" i="6"/>
  <c r="Q52" i="6"/>
  <c r="H53" i="6"/>
  <c r="I53" i="6"/>
  <c r="J53" i="6"/>
  <c r="K53" i="6"/>
  <c r="L53" i="6"/>
  <c r="M53" i="6"/>
  <c r="N53" i="6"/>
  <c r="O53" i="6"/>
  <c r="P53" i="6"/>
  <c r="Q53" i="6"/>
  <c r="H54" i="6"/>
  <c r="I54" i="6"/>
  <c r="J54" i="6"/>
  <c r="K54" i="6"/>
  <c r="L54" i="6"/>
  <c r="M54" i="6"/>
  <c r="N54" i="6"/>
  <c r="O54" i="6"/>
  <c r="P54" i="6"/>
  <c r="Q54" i="6"/>
  <c r="H55" i="6"/>
  <c r="I55" i="6"/>
  <c r="J55" i="6"/>
  <c r="K55" i="6"/>
  <c r="L55" i="6"/>
  <c r="M55" i="6"/>
  <c r="N55" i="6"/>
  <c r="O55" i="6"/>
  <c r="P55" i="6"/>
  <c r="Q55" i="6"/>
  <c r="H56" i="6"/>
  <c r="I56" i="6"/>
  <c r="J56" i="6"/>
  <c r="K56" i="6"/>
  <c r="L56" i="6"/>
  <c r="M56" i="6"/>
  <c r="N56" i="6"/>
  <c r="O56" i="6"/>
  <c r="P56" i="6"/>
  <c r="Q56" i="6"/>
  <c r="H57" i="6"/>
  <c r="I57" i="6"/>
  <c r="J57" i="6"/>
  <c r="K57" i="6"/>
  <c r="L57" i="6"/>
  <c r="M57" i="6"/>
  <c r="N57" i="6"/>
  <c r="O57" i="6"/>
  <c r="P57" i="6"/>
  <c r="Q57" i="6"/>
  <c r="H58" i="6"/>
  <c r="I58" i="6"/>
  <c r="J58" i="6"/>
  <c r="K58" i="6"/>
  <c r="L58" i="6"/>
  <c r="M58" i="6"/>
  <c r="N58" i="6"/>
  <c r="O58" i="6"/>
  <c r="P58" i="6"/>
  <c r="Q58" i="6"/>
  <c r="H59" i="6"/>
  <c r="I59" i="6"/>
  <c r="J59" i="6"/>
  <c r="K59" i="6"/>
  <c r="L59" i="6"/>
  <c r="M59" i="6"/>
  <c r="N59" i="6"/>
  <c r="O59" i="6"/>
  <c r="P59" i="6"/>
  <c r="Q59" i="6"/>
  <c r="H60" i="6"/>
  <c r="I60" i="6"/>
  <c r="J60" i="6"/>
  <c r="K60" i="6"/>
  <c r="L60" i="6"/>
  <c r="M60" i="6"/>
  <c r="N60" i="6"/>
  <c r="O60" i="6"/>
  <c r="P60" i="6"/>
  <c r="Q60" i="6"/>
  <c r="H61" i="6"/>
  <c r="I61" i="6"/>
  <c r="J61" i="6"/>
  <c r="K61" i="6"/>
  <c r="L61" i="6"/>
  <c r="M61" i="6"/>
  <c r="N61" i="6"/>
  <c r="O61" i="6"/>
  <c r="P61" i="6"/>
  <c r="Q61" i="6"/>
  <c r="H62" i="6"/>
  <c r="I62" i="6"/>
  <c r="J62" i="6"/>
  <c r="K62" i="6"/>
  <c r="L62" i="6"/>
  <c r="M62" i="6"/>
  <c r="N62" i="6"/>
  <c r="O62" i="6"/>
  <c r="P62" i="6"/>
  <c r="Q62" i="6"/>
  <c r="H63" i="6"/>
  <c r="I63" i="6"/>
  <c r="J63" i="6"/>
  <c r="K63" i="6"/>
  <c r="L63" i="6"/>
  <c r="M63" i="6"/>
  <c r="N63" i="6"/>
  <c r="O63" i="6"/>
  <c r="P63" i="6"/>
  <c r="Q63" i="6"/>
  <c r="H64" i="6"/>
  <c r="I64" i="6"/>
  <c r="J64" i="6"/>
  <c r="K64" i="6"/>
  <c r="L64" i="6"/>
  <c r="M64" i="6"/>
  <c r="N64" i="6"/>
  <c r="O64" i="6"/>
  <c r="P64" i="6"/>
  <c r="Q64" i="6"/>
  <c r="H65" i="6"/>
  <c r="I65" i="6"/>
  <c r="J65" i="6"/>
  <c r="K65" i="6"/>
  <c r="L65" i="6"/>
  <c r="M65" i="6"/>
  <c r="N65" i="6"/>
  <c r="O65" i="6"/>
  <c r="P65" i="6"/>
  <c r="Q65" i="6"/>
  <c r="H66" i="6"/>
  <c r="I66" i="6"/>
  <c r="J66" i="6"/>
  <c r="K66" i="6"/>
  <c r="L66" i="6"/>
  <c r="M66" i="6"/>
  <c r="N66" i="6"/>
  <c r="O66" i="6"/>
  <c r="P66" i="6"/>
  <c r="Q66" i="6"/>
  <c r="H67" i="6"/>
  <c r="I67" i="6"/>
  <c r="J67" i="6"/>
  <c r="K67" i="6"/>
  <c r="L67" i="6"/>
  <c r="M67" i="6"/>
  <c r="N67" i="6"/>
  <c r="O67" i="6"/>
  <c r="P67" i="6"/>
  <c r="Q67" i="6"/>
  <c r="H68" i="6"/>
  <c r="I68" i="6"/>
  <c r="J68" i="6"/>
  <c r="K68" i="6"/>
  <c r="L68" i="6"/>
  <c r="M68" i="6"/>
  <c r="N68" i="6"/>
  <c r="O68" i="6"/>
  <c r="P68" i="6"/>
  <c r="Q68" i="6"/>
  <c r="H69" i="6"/>
  <c r="I69" i="6"/>
  <c r="J69" i="6"/>
  <c r="K69" i="6"/>
  <c r="L69" i="6"/>
  <c r="M69" i="6"/>
  <c r="N69" i="6"/>
  <c r="O69" i="6"/>
  <c r="P69" i="6"/>
  <c r="Q69" i="6"/>
  <c r="H70" i="6"/>
  <c r="I70" i="6"/>
  <c r="J70" i="6"/>
  <c r="K70" i="6"/>
  <c r="L70" i="6"/>
  <c r="M70" i="6"/>
  <c r="N70" i="6"/>
  <c r="O70" i="6"/>
  <c r="P70" i="6"/>
  <c r="Q70" i="6"/>
  <c r="H71" i="6"/>
  <c r="I71" i="6"/>
  <c r="J71" i="6"/>
  <c r="K71" i="6"/>
  <c r="L71" i="6"/>
  <c r="M71" i="6"/>
  <c r="N71" i="6"/>
  <c r="O71" i="6"/>
  <c r="P71" i="6"/>
  <c r="Q71" i="6"/>
  <c r="H72" i="6"/>
  <c r="I72" i="6"/>
  <c r="J72" i="6"/>
  <c r="K72" i="6"/>
  <c r="L72" i="6"/>
  <c r="M72" i="6"/>
  <c r="N72" i="6"/>
  <c r="O72" i="6"/>
  <c r="P72" i="6"/>
  <c r="Q72" i="6"/>
  <c r="H73" i="6"/>
  <c r="I73" i="6"/>
  <c r="J73" i="6"/>
  <c r="K73" i="6"/>
  <c r="L73" i="6"/>
  <c r="M73" i="6"/>
  <c r="N73" i="6"/>
  <c r="O73" i="6"/>
  <c r="P73" i="6"/>
  <c r="Q73" i="6"/>
  <c r="H74" i="6"/>
  <c r="I74" i="6"/>
  <c r="J74" i="6"/>
  <c r="K74" i="6"/>
  <c r="L74" i="6"/>
  <c r="M74" i="6"/>
  <c r="N74" i="6"/>
  <c r="O74" i="6"/>
  <c r="P74" i="6"/>
  <c r="Q74" i="6"/>
  <c r="H75" i="6"/>
  <c r="I75" i="6"/>
  <c r="J75" i="6"/>
  <c r="K75" i="6"/>
  <c r="L75" i="6"/>
  <c r="M75" i="6"/>
  <c r="N75" i="6"/>
  <c r="O75" i="6"/>
  <c r="P75" i="6"/>
  <c r="Q75" i="6"/>
  <c r="H76" i="6"/>
  <c r="I76" i="6"/>
  <c r="J76" i="6"/>
  <c r="K76" i="6"/>
  <c r="L76" i="6"/>
  <c r="M76" i="6"/>
  <c r="N76" i="6"/>
  <c r="O76" i="6"/>
  <c r="P76" i="6"/>
  <c r="Q76" i="6"/>
  <c r="H77" i="6"/>
  <c r="I77" i="6"/>
  <c r="J77" i="6"/>
  <c r="K77" i="6"/>
  <c r="L77" i="6"/>
  <c r="M77" i="6"/>
  <c r="N77" i="6"/>
  <c r="O77" i="6"/>
  <c r="P77" i="6"/>
  <c r="Q77" i="6"/>
  <c r="H78" i="6"/>
  <c r="I78" i="6"/>
  <c r="J78" i="6"/>
  <c r="K78" i="6"/>
  <c r="L78" i="6"/>
  <c r="M78" i="6"/>
  <c r="N78" i="6"/>
  <c r="O78" i="6"/>
  <c r="P78" i="6"/>
  <c r="Q78" i="6"/>
  <c r="H79" i="6"/>
  <c r="I79" i="6"/>
  <c r="J79" i="6"/>
  <c r="K79" i="6"/>
  <c r="L79" i="6"/>
  <c r="M79" i="6"/>
  <c r="N79" i="6"/>
  <c r="O79" i="6"/>
  <c r="P79" i="6"/>
  <c r="Q79" i="6"/>
  <c r="H80" i="6"/>
  <c r="I80" i="6"/>
  <c r="J80" i="6"/>
  <c r="K80" i="6"/>
  <c r="L80" i="6"/>
  <c r="M80" i="6"/>
  <c r="N80" i="6"/>
  <c r="O80" i="6"/>
  <c r="P80" i="6"/>
  <c r="Q80" i="6"/>
  <c r="H81" i="6"/>
  <c r="I81" i="6"/>
  <c r="J81" i="6"/>
  <c r="K81" i="6"/>
  <c r="L81" i="6"/>
  <c r="M81" i="6"/>
  <c r="N81" i="6"/>
  <c r="O81" i="6"/>
  <c r="P81" i="6"/>
  <c r="Q81" i="6"/>
  <c r="H82" i="6"/>
  <c r="I82" i="6"/>
  <c r="J82" i="6"/>
  <c r="K82" i="6"/>
  <c r="L82" i="6"/>
  <c r="M82" i="6"/>
  <c r="N82" i="6"/>
  <c r="O82" i="6"/>
  <c r="P82" i="6"/>
  <c r="Q82" i="6"/>
  <c r="H83" i="6"/>
  <c r="I83" i="6"/>
  <c r="J83" i="6"/>
  <c r="K83" i="6"/>
  <c r="L83" i="6"/>
  <c r="M83" i="6"/>
  <c r="N83" i="6"/>
  <c r="O83" i="6"/>
  <c r="P83" i="6"/>
  <c r="Q83" i="6"/>
  <c r="H84" i="6"/>
  <c r="I84" i="6"/>
  <c r="J84" i="6"/>
  <c r="K84" i="6"/>
  <c r="L84" i="6"/>
  <c r="M84" i="6"/>
  <c r="N84" i="6"/>
  <c r="O84" i="6"/>
  <c r="P84" i="6"/>
  <c r="Q84" i="6"/>
  <c r="H85" i="6"/>
  <c r="I85" i="6"/>
  <c r="J85" i="6"/>
  <c r="K85" i="6"/>
  <c r="L85" i="6"/>
  <c r="M85" i="6"/>
  <c r="N85" i="6"/>
  <c r="O85" i="6"/>
  <c r="P85" i="6"/>
  <c r="Q85" i="6"/>
  <c r="H86" i="6"/>
  <c r="I86" i="6"/>
  <c r="J86" i="6"/>
  <c r="K86" i="6"/>
  <c r="L86" i="6"/>
  <c r="M86" i="6"/>
  <c r="N86" i="6"/>
  <c r="O86" i="6"/>
  <c r="P86" i="6"/>
  <c r="Q86" i="6"/>
  <c r="H87" i="6"/>
  <c r="I87" i="6"/>
  <c r="J87" i="6"/>
  <c r="K87" i="6"/>
  <c r="L87" i="6"/>
  <c r="M87" i="6"/>
  <c r="N87" i="6"/>
  <c r="O87" i="6"/>
  <c r="P87" i="6"/>
  <c r="Q87" i="6"/>
  <c r="H88" i="6"/>
  <c r="I88" i="6"/>
  <c r="J88" i="6"/>
  <c r="K88" i="6"/>
  <c r="L88" i="6"/>
  <c r="M88" i="6"/>
  <c r="N88" i="6"/>
  <c r="O88" i="6"/>
  <c r="P88" i="6"/>
  <c r="Q88" i="6"/>
  <c r="H89" i="6"/>
  <c r="I89" i="6"/>
  <c r="J89" i="6"/>
  <c r="K89" i="6"/>
  <c r="L89" i="6"/>
  <c r="M89" i="6"/>
  <c r="N89" i="6"/>
  <c r="O89" i="6"/>
  <c r="P89" i="6"/>
  <c r="Q89" i="6"/>
  <c r="H90" i="6"/>
  <c r="I90" i="6"/>
  <c r="J90" i="6"/>
  <c r="K90" i="6"/>
  <c r="L90" i="6"/>
  <c r="M90" i="6"/>
  <c r="N90" i="6"/>
  <c r="O90" i="6"/>
  <c r="P90" i="6"/>
  <c r="Q90" i="6"/>
  <c r="H91" i="6"/>
  <c r="I91" i="6"/>
  <c r="J91" i="6"/>
  <c r="K91" i="6"/>
  <c r="L91" i="6"/>
  <c r="M91" i="6"/>
  <c r="N91" i="6"/>
  <c r="O91" i="6"/>
  <c r="P91" i="6"/>
  <c r="Q91" i="6"/>
  <c r="H92" i="6"/>
  <c r="I92" i="6"/>
  <c r="J92" i="6"/>
  <c r="K92" i="6"/>
  <c r="L92" i="6"/>
  <c r="M92" i="6"/>
  <c r="N92" i="6"/>
  <c r="O92" i="6"/>
  <c r="P92" i="6"/>
  <c r="Q92" i="6"/>
  <c r="H93" i="6"/>
  <c r="I93" i="6"/>
  <c r="J93" i="6"/>
  <c r="K93" i="6"/>
  <c r="L93" i="6"/>
  <c r="M93" i="6"/>
  <c r="N93" i="6"/>
  <c r="O93" i="6"/>
  <c r="P93" i="6"/>
  <c r="Q93" i="6"/>
  <c r="H94" i="6"/>
  <c r="I94" i="6"/>
  <c r="J94" i="6"/>
  <c r="K94" i="6"/>
  <c r="L94" i="6"/>
  <c r="M94" i="6"/>
  <c r="N94" i="6"/>
  <c r="O94" i="6"/>
  <c r="P94" i="6"/>
  <c r="Q94" i="6"/>
  <c r="H95" i="6"/>
  <c r="I95" i="6"/>
  <c r="J95" i="6"/>
  <c r="K95" i="6"/>
  <c r="L95" i="6"/>
  <c r="M95" i="6"/>
  <c r="N95" i="6"/>
  <c r="O95" i="6"/>
  <c r="P95" i="6"/>
  <c r="Q95" i="6"/>
  <c r="H96" i="6"/>
  <c r="I96" i="6"/>
  <c r="J96" i="6"/>
  <c r="K96" i="6"/>
  <c r="L96" i="6"/>
  <c r="M96" i="6"/>
  <c r="N96" i="6"/>
  <c r="O96" i="6"/>
  <c r="P96" i="6"/>
  <c r="Q96" i="6"/>
  <c r="H97" i="6"/>
  <c r="I97" i="6"/>
  <c r="J97" i="6"/>
  <c r="K97" i="6"/>
  <c r="L97" i="6"/>
  <c r="M97" i="6"/>
  <c r="N97" i="6"/>
  <c r="O97" i="6"/>
  <c r="P97" i="6"/>
  <c r="Q97" i="6"/>
  <c r="H98" i="6"/>
  <c r="I98" i="6"/>
  <c r="J98" i="6"/>
  <c r="K98" i="6"/>
  <c r="L98" i="6"/>
  <c r="M98" i="6"/>
  <c r="N98" i="6"/>
  <c r="O98" i="6"/>
  <c r="P98" i="6"/>
  <c r="Q98" i="6"/>
  <c r="H99" i="6"/>
  <c r="I99" i="6"/>
  <c r="J99" i="6"/>
  <c r="K99" i="6"/>
  <c r="L99" i="6"/>
  <c r="M99" i="6"/>
  <c r="N99" i="6"/>
  <c r="O99" i="6"/>
  <c r="P99" i="6"/>
  <c r="Q99" i="6"/>
  <c r="H100" i="6"/>
  <c r="I100" i="6"/>
  <c r="J100" i="6"/>
  <c r="K100" i="6"/>
  <c r="L100" i="6"/>
  <c r="M100" i="6"/>
  <c r="N100" i="6"/>
  <c r="O100" i="6"/>
  <c r="P100" i="6"/>
  <c r="Q100" i="6"/>
  <c r="H101" i="6"/>
  <c r="I101" i="6"/>
  <c r="J101" i="6"/>
  <c r="K101" i="6"/>
  <c r="L101" i="6"/>
  <c r="M101" i="6"/>
  <c r="N101" i="6"/>
  <c r="O101" i="6"/>
  <c r="P101" i="6"/>
  <c r="Q101" i="6"/>
  <c r="H102" i="6"/>
  <c r="I102" i="6"/>
  <c r="J102" i="6"/>
  <c r="K102" i="6"/>
  <c r="L102" i="6"/>
  <c r="M102" i="6"/>
  <c r="N102" i="6"/>
  <c r="O102" i="6"/>
  <c r="P102" i="6"/>
  <c r="Q102" i="6"/>
  <c r="H103" i="6"/>
  <c r="I103" i="6"/>
  <c r="J103" i="6"/>
  <c r="K103" i="6"/>
  <c r="L103" i="6"/>
  <c r="M103" i="6"/>
  <c r="N103" i="6"/>
  <c r="O103" i="6"/>
  <c r="P103" i="6"/>
  <c r="Q103" i="6"/>
  <c r="H104" i="6"/>
  <c r="I104" i="6"/>
  <c r="J104" i="6"/>
  <c r="K104" i="6"/>
  <c r="L104" i="6"/>
  <c r="M104" i="6"/>
  <c r="N104" i="6"/>
  <c r="O104" i="6"/>
  <c r="P104" i="6"/>
  <c r="Q104" i="6"/>
  <c r="H105" i="6"/>
  <c r="I105" i="6"/>
  <c r="J105" i="6"/>
  <c r="K105" i="6"/>
  <c r="L105" i="6"/>
  <c r="M105" i="6"/>
  <c r="N105" i="6"/>
  <c r="O105" i="6"/>
  <c r="P105" i="6"/>
  <c r="Q105" i="6"/>
  <c r="H106" i="6"/>
  <c r="I106" i="6"/>
  <c r="J106" i="6"/>
  <c r="K106" i="6"/>
  <c r="L106" i="6"/>
  <c r="M106" i="6"/>
  <c r="N106" i="6"/>
  <c r="O106" i="6"/>
  <c r="P106" i="6"/>
  <c r="Q106" i="6"/>
  <c r="H107" i="6"/>
  <c r="I107" i="6"/>
  <c r="J107" i="6"/>
  <c r="K107" i="6"/>
  <c r="L107" i="6"/>
  <c r="M107" i="6"/>
  <c r="N107" i="6"/>
  <c r="O107" i="6"/>
  <c r="P107" i="6"/>
  <c r="Q107" i="6"/>
  <c r="H108" i="6"/>
  <c r="I108" i="6"/>
  <c r="J108" i="6"/>
  <c r="K108" i="6"/>
  <c r="L108" i="6"/>
  <c r="M108" i="6"/>
  <c r="N108" i="6"/>
  <c r="O108" i="6"/>
  <c r="P108" i="6"/>
  <c r="Q108" i="6"/>
  <c r="H109" i="6"/>
  <c r="I109" i="6"/>
  <c r="J109" i="6"/>
  <c r="K109" i="6"/>
  <c r="L109" i="6"/>
  <c r="M109" i="6"/>
  <c r="N109" i="6"/>
  <c r="O109" i="6"/>
  <c r="P109" i="6"/>
  <c r="Q109" i="6"/>
  <c r="I11" i="6"/>
  <c r="J11" i="6"/>
  <c r="K11" i="6"/>
  <c r="L11" i="6"/>
  <c r="M11" i="6"/>
  <c r="N11" i="6"/>
  <c r="O11" i="6"/>
  <c r="P11" i="6"/>
  <c r="Q11" i="6"/>
  <c r="H11" i="6"/>
  <c r="E3" i="6" a="1"/>
  <c r="F8" i="6" s="1"/>
  <c r="F8" i="4"/>
  <c r="Q10" i="6"/>
  <c r="P10" i="6"/>
  <c r="O10" i="6"/>
  <c r="N10" i="6"/>
  <c r="M10" i="6"/>
  <c r="L10" i="6"/>
  <c r="K10" i="6"/>
  <c r="J10" i="6"/>
  <c r="I10" i="6"/>
  <c r="H10" i="6"/>
  <c r="AC3" i="6" a="1"/>
  <c r="AD8" i="6" s="1"/>
  <c r="F8" i="3"/>
  <c r="E8" i="4"/>
  <c r="H11" i="5"/>
  <c r="I11" i="5"/>
  <c r="J11" i="5"/>
  <c r="K11" i="5"/>
  <c r="L11" i="5"/>
  <c r="M11" i="5"/>
  <c r="N11" i="5"/>
  <c r="O11" i="5"/>
  <c r="P11" i="5"/>
  <c r="Q11" i="5"/>
  <c r="H12" i="5"/>
  <c r="I12" i="5"/>
  <c r="J12" i="5"/>
  <c r="K12" i="5"/>
  <c r="L12" i="5"/>
  <c r="M12" i="5"/>
  <c r="N12" i="5"/>
  <c r="O12" i="5"/>
  <c r="P12" i="5"/>
  <c r="Q12" i="5"/>
  <c r="H13" i="5"/>
  <c r="I13" i="5"/>
  <c r="J13" i="5"/>
  <c r="K13" i="5"/>
  <c r="L13" i="5"/>
  <c r="M13" i="5"/>
  <c r="N13" i="5"/>
  <c r="O13" i="5"/>
  <c r="P13" i="5"/>
  <c r="Q13" i="5"/>
  <c r="H14" i="5"/>
  <c r="I14" i="5"/>
  <c r="J14" i="5"/>
  <c r="K14" i="5"/>
  <c r="L14" i="5"/>
  <c r="M14" i="5"/>
  <c r="N14" i="5"/>
  <c r="O14" i="5"/>
  <c r="P14" i="5"/>
  <c r="Q14" i="5"/>
  <c r="H15" i="5"/>
  <c r="I15" i="5"/>
  <c r="J15" i="5"/>
  <c r="K15" i="5"/>
  <c r="L15" i="5"/>
  <c r="M15" i="5"/>
  <c r="N15" i="5"/>
  <c r="O15" i="5"/>
  <c r="P15" i="5"/>
  <c r="Q15" i="5"/>
  <c r="H16" i="5"/>
  <c r="I16" i="5"/>
  <c r="J16" i="5"/>
  <c r="K16" i="5"/>
  <c r="L16" i="5"/>
  <c r="M16" i="5"/>
  <c r="N16" i="5"/>
  <c r="O16" i="5"/>
  <c r="P16" i="5"/>
  <c r="Q16" i="5"/>
  <c r="H17" i="5"/>
  <c r="I17" i="5"/>
  <c r="J17" i="5"/>
  <c r="K17" i="5"/>
  <c r="L17" i="5"/>
  <c r="M17" i="5"/>
  <c r="N17" i="5"/>
  <c r="O17" i="5"/>
  <c r="P17" i="5"/>
  <c r="Q17" i="5"/>
  <c r="H18" i="5"/>
  <c r="I18" i="5"/>
  <c r="J18" i="5"/>
  <c r="K18" i="5"/>
  <c r="L18" i="5"/>
  <c r="M18" i="5"/>
  <c r="N18" i="5"/>
  <c r="O18" i="5"/>
  <c r="P18" i="5"/>
  <c r="Q18" i="5"/>
  <c r="H19" i="5"/>
  <c r="I19" i="5"/>
  <c r="J19" i="5"/>
  <c r="K19" i="5"/>
  <c r="L19" i="5"/>
  <c r="M19" i="5"/>
  <c r="N19" i="5"/>
  <c r="O19" i="5"/>
  <c r="P19" i="5"/>
  <c r="Q19" i="5"/>
  <c r="H20" i="5"/>
  <c r="I20" i="5"/>
  <c r="J20" i="5"/>
  <c r="K20" i="5"/>
  <c r="L20" i="5"/>
  <c r="M20" i="5"/>
  <c r="N20" i="5"/>
  <c r="O20" i="5"/>
  <c r="P20" i="5"/>
  <c r="Q20" i="5"/>
  <c r="H21" i="5"/>
  <c r="I21" i="5"/>
  <c r="J21" i="5"/>
  <c r="K21" i="5"/>
  <c r="L21" i="5"/>
  <c r="M21" i="5"/>
  <c r="N21" i="5"/>
  <c r="O21" i="5"/>
  <c r="P21" i="5"/>
  <c r="Q21" i="5"/>
  <c r="H22" i="5"/>
  <c r="I22" i="5"/>
  <c r="J22" i="5"/>
  <c r="K22" i="5"/>
  <c r="L22" i="5"/>
  <c r="M22" i="5"/>
  <c r="N22" i="5"/>
  <c r="O22" i="5"/>
  <c r="P22" i="5"/>
  <c r="Q22" i="5"/>
  <c r="H23" i="5"/>
  <c r="I23" i="5"/>
  <c r="J23" i="5"/>
  <c r="K23" i="5"/>
  <c r="L23" i="5"/>
  <c r="M23" i="5"/>
  <c r="N23" i="5"/>
  <c r="O23" i="5"/>
  <c r="P23" i="5"/>
  <c r="Q23" i="5"/>
  <c r="H24" i="5"/>
  <c r="I24" i="5"/>
  <c r="J24" i="5"/>
  <c r="K24" i="5"/>
  <c r="L24" i="5"/>
  <c r="M24" i="5"/>
  <c r="N24" i="5"/>
  <c r="O24" i="5"/>
  <c r="P24" i="5"/>
  <c r="Q24" i="5"/>
  <c r="H25" i="5"/>
  <c r="I25" i="5"/>
  <c r="J25" i="5"/>
  <c r="K25" i="5"/>
  <c r="L25" i="5"/>
  <c r="M25" i="5"/>
  <c r="N25" i="5"/>
  <c r="O25" i="5"/>
  <c r="P25" i="5"/>
  <c r="Q25" i="5"/>
  <c r="H26" i="5"/>
  <c r="I26" i="5"/>
  <c r="J26" i="5"/>
  <c r="K26" i="5"/>
  <c r="L26" i="5"/>
  <c r="M26" i="5"/>
  <c r="N26" i="5"/>
  <c r="O26" i="5"/>
  <c r="P26" i="5"/>
  <c r="Q26" i="5"/>
  <c r="H27" i="5"/>
  <c r="I27" i="5"/>
  <c r="J27" i="5"/>
  <c r="K27" i="5"/>
  <c r="L27" i="5"/>
  <c r="M27" i="5"/>
  <c r="N27" i="5"/>
  <c r="O27" i="5"/>
  <c r="P27" i="5"/>
  <c r="Q27" i="5"/>
  <c r="H28" i="5"/>
  <c r="I28" i="5"/>
  <c r="J28" i="5"/>
  <c r="K28" i="5"/>
  <c r="L28" i="5"/>
  <c r="M28" i="5"/>
  <c r="N28" i="5"/>
  <c r="O28" i="5"/>
  <c r="P28" i="5"/>
  <c r="Q28" i="5"/>
  <c r="H29" i="5"/>
  <c r="I29" i="5"/>
  <c r="J29" i="5"/>
  <c r="K29" i="5"/>
  <c r="L29" i="5"/>
  <c r="M29" i="5"/>
  <c r="N29" i="5"/>
  <c r="O29" i="5"/>
  <c r="P29" i="5"/>
  <c r="Q29" i="5"/>
  <c r="H30" i="5"/>
  <c r="I30" i="5"/>
  <c r="J30" i="5"/>
  <c r="K30" i="5"/>
  <c r="L30" i="5"/>
  <c r="M30" i="5"/>
  <c r="N30" i="5"/>
  <c r="O30" i="5"/>
  <c r="P30" i="5"/>
  <c r="Q30" i="5"/>
  <c r="H31" i="5"/>
  <c r="I31" i="5"/>
  <c r="J31" i="5"/>
  <c r="K31" i="5"/>
  <c r="L31" i="5"/>
  <c r="M31" i="5"/>
  <c r="N31" i="5"/>
  <c r="O31" i="5"/>
  <c r="P31" i="5"/>
  <c r="Q31" i="5"/>
  <c r="H32" i="5"/>
  <c r="I32" i="5"/>
  <c r="J32" i="5"/>
  <c r="K32" i="5"/>
  <c r="L32" i="5"/>
  <c r="M32" i="5"/>
  <c r="N32" i="5"/>
  <c r="O32" i="5"/>
  <c r="P32" i="5"/>
  <c r="Q32" i="5"/>
  <c r="H33" i="5"/>
  <c r="I33" i="5"/>
  <c r="J33" i="5"/>
  <c r="K33" i="5"/>
  <c r="L33" i="5"/>
  <c r="M33" i="5"/>
  <c r="N33" i="5"/>
  <c r="O33" i="5"/>
  <c r="P33" i="5"/>
  <c r="Q33" i="5"/>
  <c r="H34" i="5"/>
  <c r="I34" i="5"/>
  <c r="J34" i="5"/>
  <c r="K34" i="5"/>
  <c r="L34" i="5"/>
  <c r="M34" i="5"/>
  <c r="N34" i="5"/>
  <c r="O34" i="5"/>
  <c r="P34" i="5"/>
  <c r="Q34" i="5"/>
  <c r="H35" i="5"/>
  <c r="I35" i="5"/>
  <c r="J35" i="5"/>
  <c r="K35" i="5"/>
  <c r="L35" i="5"/>
  <c r="M35" i="5"/>
  <c r="N35" i="5"/>
  <c r="O35" i="5"/>
  <c r="P35" i="5"/>
  <c r="Q35" i="5"/>
  <c r="H36" i="5"/>
  <c r="I36" i="5"/>
  <c r="J36" i="5"/>
  <c r="K36" i="5"/>
  <c r="L36" i="5"/>
  <c r="M36" i="5"/>
  <c r="N36" i="5"/>
  <c r="O36" i="5"/>
  <c r="P36" i="5"/>
  <c r="Q36" i="5"/>
  <c r="H37" i="5"/>
  <c r="I37" i="5"/>
  <c r="J37" i="5"/>
  <c r="K37" i="5"/>
  <c r="L37" i="5"/>
  <c r="M37" i="5"/>
  <c r="N37" i="5"/>
  <c r="O37" i="5"/>
  <c r="P37" i="5"/>
  <c r="Q37" i="5"/>
  <c r="H38" i="5"/>
  <c r="I38" i="5"/>
  <c r="J38" i="5"/>
  <c r="K38" i="5"/>
  <c r="L38" i="5"/>
  <c r="M38" i="5"/>
  <c r="N38" i="5"/>
  <c r="O38" i="5"/>
  <c r="P38" i="5"/>
  <c r="Q38" i="5"/>
  <c r="H39" i="5"/>
  <c r="I39" i="5"/>
  <c r="J39" i="5"/>
  <c r="K39" i="5"/>
  <c r="L39" i="5"/>
  <c r="M39" i="5"/>
  <c r="N39" i="5"/>
  <c r="O39" i="5"/>
  <c r="P39" i="5"/>
  <c r="Q39" i="5"/>
  <c r="H40" i="5"/>
  <c r="I40" i="5"/>
  <c r="J40" i="5"/>
  <c r="K40" i="5"/>
  <c r="L40" i="5"/>
  <c r="M40" i="5"/>
  <c r="N40" i="5"/>
  <c r="O40" i="5"/>
  <c r="P40" i="5"/>
  <c r="Q40" i="5"/>
  <c r="H41" i="5"/>
  <c r="I41" i="5"/>
  <c r="J41" i="5"/>
  <c r="K41" i="5"/>
  <c r="L41" i="5"/>
  <c r="M41" i="5"/>
  <c r="N41" i="5"/>
  <c r="O41" i="5"/>
  <c r="P41" i="5"/>
  <c r="Q41" i="5"/>
  <c r="H42" i="5"/>
  <c r="I42" i="5"/>
  <c r="J42" i="5"/>
  <c r="K42" i="5"/>
  <c r="L42" i="5"/>
  <c r="M42" i="5"/>
  <c r="N42" i="5"/>
  <c r="O42" i="5"/>
  <c r="P42" i="5"/>
  <c r="Q42" i="5"/>
  <c r="H43" i="5"/>
  <c r="I43" i="5"/>
  <c r="J43" i="5"/>
  <c r="K43" i="5"/>
  <c r="L43" i="5"/>
  <c r="M43" i="5"/>
  <c r="N43" i="5"/>
  <c r="O43" i="5"/>
  <c r="P43" i="5"/>
  <c r="Q43" i="5"/>
  <c r="H44" i="5"/>
  <c r="I44" i="5"/>
  <c r="J44" i="5"/>
  <c r="K44" i="5"/>
  <c r="L44" i="5"/>
  <c r="M44" i="5"/>
  <c r="N44" i="5"/>
  <c r="O44" i="5"/>
  <c r="P44" i="5"/>
  <c r="Q44" i="5"/>
  <c r="H45" i="5"/>
  <c r="I45" i="5"/>
  <c r="J45" i="5"/>
  <c r="K45" i="5"/>
  <c r="L45" i="5"/>
  <c r="M45" i="5"/>
  <c r="N45" i="5"/>
  <c r="O45" i="5"/>
  <c r="P45" i="5"/>
  <c r="Q45" i="5"/>
  <c r="H46" i="5"/>
  <c r="I46" i="5"/>
  <c r="J46" i="5"/>
  <c r="K46" i="5"/>
  <c r="L46" i="5"/>
  <c r="M46" i="5"/>
  <c r="N46" i="5"/>
  <c r="O46" i="5"/>
  <c r="P46" i="5"/>
  <c r="Q46" i="5"/>
  <c r="H47" i="5"/>
  <c r="I47" i="5"/>
  <c r="J47" i="5"/>
  <c r="K47" i="5"/>
  <c r="L47" i="5"/>
  <c r="M47" i="5"/>
  <c r="N47" i="5"/>
  <c r="O47" i="5"/>
  <c r="P47" i="5"/>
  <c r="Q47" i="5"/>
  <c r="H48" i="5"/>
  <c r="I48" i="5"/>
  <c r="J48" i="5"/>
  <c r="K48" i="5"/>
  <c r="L48" i="5"/>
  <c r="M48" i="5"/>
  <c r="N48" i="5"/>
  <c r="O48" i="5"/>
  <c r="P48" i="5"/>
  <c r="Q48" i="5"/>
  <c r="H49" i="5"/>
  <c r="I49" i="5"/>
  <c r="J49" i="5"/>
  <c r="K49" i="5"/>
  <c r="L49" i="5"/>
  <c r="M49" i="5"/>
  <c r="N49" i="5"/>
  <c r="O49" i="5"/>
  <c r="P49" i="5"/>
  <c r="Q49" i="5"/>
  <c r="H50" i="5"/>
  <c r="I50" i="5"/>
  <c r="J50" i="5"/>
  <c r="K50" i="5"/>
  <c r="L50" i="5"/>
  <c r="M50" i="5"/>
  <c r="N50" i="5"/>
  <c r="O50" i="5"/>
  <c r="P50" i="5"/>
  <c r="Q50" i="5"/>
  <c r="H51" i="5"/>
  <c r="I51" i="5"/>
  <c r="J51" i="5"/>
  <c r="K51" i="5"/>
  <c r="L51" i="5"/>
  <c r="M51" i="5"/>
  <c r="N51" i="5"/>
  <c r="O51" i="5"/>
  <c r="P51" i="5"/>
  <c r="Q51" i="5"/>
  <c r="H52" i="5"/>
  <c r="I52" i="5"/>
  <c r="J52" i="5"/>
  <c r="K52" i="5"/>
  <c r="L52" i="5"/>
  <c r="M52" i="5"/>
  <c r="N52" i="5"/>
  <c r="O52" i="5"/>
  <c r="P52" i="5"/>
  <c r="Q52" i="5"/>
  <c r="H53" i="5"/>
  <c r="I53" i="5"/>
  <c r="J53" i="5"/>
  <c r="K53" i="5"/>
  <c r="L53" i="5"/>
  <c r="M53" i="5"/>
  <c r="N53" i="5"/>
  <c r="O53" i="5"/>
  <c r="P53" i="5"/>
  <c r="Q53" i="5"/>
  <c r="H54" i="5"/>
  <c r="I54" i="5"/>
  <c r="J54" i="5"/>
  <c r="K54" i="5"/>
  <c r="L54" i="5"/>
  <c r="M54" i="5"/>
  <c r="N54" i="5"/>
  <c r="O54" i="5"/>
  <c r="P54" i="5"/>
  <c r="Q54" i="5"/>
  <c r="H55" i="5"/>
  <c r="I55" i="5"/>
  <c r="J55" i="5"/>
  <c r="K55" i="5"/>
  <c r="L55" i="5"/>
  <c r="M55" i="5"/>
  <c r="N55" i="5"/>
  <c r="O55" i="5"/>
  <c r="P55" i="5"/>
  <c r="Q55" i="5"/>
  <c r="H56" i="5"/>
  <c r="I56" i="5"/>
  <c r="J56" i="5"/>
  <c r="K56" i="5"/>
  <c r="L56" i="5"/>
  <c r="M56" i="5"/>
  <c r="N56" i="5"/>
  <c r="O56" i="5"/>
  <c r="P56" i="5"/>
  <c r="Q56" i="5"/>
  <c r="H57" i="5"/>
  <c r="I57" i="5"/>
  <c r="J57" i="5"/>
  <c r="K57" i="5"/>
  <c r="L57" i="5"/>
  <c r="M57" i="5"/>
  <c r="N57" i="5"/>
  <c r="O57" i="5"/>
  <c r="P57" i="5"/>
  <c r="Q57" i="5"/>
  <c r="H58" i="5"/>
  <c r="I58" i="5"/>
  <c r="J58" i="5"/>
  <c r="K58" i="5"/>
  <c r="L58" i="5"/>
  <c r="M58" i="5"/>
  <c r="N58" i="5"/>
  <c r="O58" i="5"/>
  <c r="P58" i="5"/>
  <c r="Q58" i="5"/>
  <c r="H59" i="5"/>
  <c r="I59" i="5"/>
  <c r="J59" i="5"/>
  <c r="K59" i="5"/>
  <c r="L59" i="5"/>
  <c r="M59" i="5"/>
  <c r="N59" i="5"/>
  <c r="O59" i="5"/>
  <c r="P59" i="5"/>
  <c r="Q59" i="5"/>
  <c r="H60" i="5"/>
  <c r="I60" i="5"/>
  <c r="J60" i="5"/>
  <c r="K60" i="5"/>
  <c r="L60" i="5"/>
  <c r="M60" i="5"/>
  <c r="N60" i="5"/>
  <c r="O60" i="5"/>
  <c r="P60" i="5"/>
  <c r="Q60" i="5"/>
  <c r="H61" i="5"/>
  <c r="I61" i="5"/>
  <c r="J61" i="5"/>
  <c r="K61" i="5"/>
  <c r="L61" i="5"/>
  <c r="M61" i="5"/>
  <c r="N61" i="5"/>
  <c r="O61" i="5"/>
  <c r="P61" i="5"/>
  <c r="Q61" i="5"/>
  <c r="H62" i="5"/>
  <c r="I62" i="5"/>
  <c r="J62" i="5"/>
  <c r="K62" i="5"/>
  <c r="L62" i="5"/>
  <c r="M62" i="5"/>
  <c r="N62" i="5"/>
  <c r="O62" i="5"/>
  <c r="P62" i="5"/>
  <c r="Q62" i="5"/>
  <c r="H63" i="5"/>
  <c r="I63" i="5"/>
  <c r="J63" i="5"/>
  <c r="K63" i="5"/>
  <c r="L63" i="5"/>
  <c r="M63" i="5"/>
  <c r="N63" i="5"/>
  <c r="O63" i="5"/>
  <c r="P63" i="5"/>
  <c r="Q63" i="5"/>
  <c r="H64" i="5"/>
  <c r="I64" i="5"/>
  <c r="J64" i="5"/>
  <c r="K64" i="5"/>
  <c r="L64" i="5"/>
  <c r="M64" i="5"/>
  <c r="N64" i="5"/>
  <c r="O64" i="5"/>
  <c r="P64" i="5"/>
  <c r="Q64" i="5"/>
  <c r="H65" i="5"/>
  <c r="I65" i="5"/>
  <c r="J65" i="5"/>
  <c r="K65" i="5"/>
  <c r="L65" i="5"/>
  <c r="M65" i="5"/>
  <c r="N65" i="5"/>
  <c r="O65" i="5"/>
  <c r="P65" i="5"/>
  <c r="Q65" i="5"/>
  <c r="H66" i="5"/>
  <c r="I66" i="5"/>
  <c r="J66" i="5"/>
  <c r="K66" i="5"/>
  <c r="L66" i="5"/>
  <c r="M66" i="5"/>
  <c r="N66" i="5"/>
  <c r="O66" i="5"/>
  <c r="P66" i="5"/>
  <c r="Q66" i="5"/>
  <c r="H67" i="5"/>
  <c r="I67" i="5"/>
  <c r="J67" i="5"/>
  <c r="K67" i="5"/>
  <c r="L67" i="5"/>
  <c r="M67" i="5"/>
  <c r="N67" i="5"/>
  <c r="O67" i="5"/>
  <c r="P67" i="5"/>
  <c r="Q67" i="5"/>
  <c r="H68" i="5"/>
  <c r="I68" i="5"/>
  <c r="J68" i="5"/>
  <c r="K68" i="5"/>
  <c r="L68" i="5"/>
  <c r="M68" i="5"/>
  <c r="N68" i="5"/>
  <c r="O68" i="5"/>
  <c r="P68" i="5"/>
  <c r="Q68" i="5"/>
  <c r="H69" i="5"/>
  <c r="I69" i="5"/>
  <c r="J69" i="5"/>
  <c r="K69" i="5"/>
  <c r="L69" i="5"/>
  <c r="M69" i="5"/>
  <c r="N69" i="5"/>
  <c r="O69" i="5"/>
  <c r="P69" i="5"/>
  <c r="Q69" i="5"/>
  <c r="H70" i="5"/>
  <c r="I70" i="5"/>
  <c r="J70" i="5"/>
  <c r="K70" i="5"/>
  <c r="L70" i="5"/>
  <c r="M70" i="5"/>
  <c r="N70" i="5"/>
  <c r="O70" i="5"/>
  <c r="P70" i="5"/>
  <c r="Q70" i="5"/>
  <c r="H71" i="5"/>
  <c r="I71" i="5"/>
  <c r="J71" i="5"/>
  <c r="K71" i="5"/>
  <c r="L71" i="5"/>
  <c r="M71" i="5"/>
  <c r="N71" i="5"/>
  <c r="O71" i="5"/>
  <c r="P71" i="5"/>
  <c r="Q71" i="5"/>
  <c r="H72" i="5"/>
  <c r="I72" i="5"/>
  <c r="J72" i="5"/>
  <c r="K72" i="5"/>
  <c r="L72" i="5"/>
  <c r="M72" i="5"/>
  <c r="N72" i="5"/>
  <c r="O72" i="5"/>
  <c r="P72" i="5"/>
  <c r="Q72" i="5"/>
  <c r="H73" i="5"/>
  <c r="I73" i="5"/>
  <c r="J73" i="5"/>
  <c r="K73" i="5"/>
  <c r="L73" i="5"/>
  <c r="M73" i="5"/>
  <c r="N73" i="5"/>
  <c r="O73" i="5"/>
  <c r="P73" i="5"/>
  <c r="Q73" i="5"/>
  <c r="H74" i="5"/>
  <c r="I74" i="5"/>
  <c r="J74" i="5"/>
  <c r="K74" i="5"/>
  <c r="L74" i="5"/>
  <c r="M74" i="5"/>
  <c r="N74" i="5"/>
  <c r="O74" i="5"/>
  <c r="P74" i="5"/>
  <c r="Q74" i="5"/>
  <c r="H75" i="5"/>
  <c r="I75" i="5"/>
  <c r="J75" i="5"/>
  <c r="K75" i="5"/>
  <c r="L75" i="5"/>
  <c r="M75" i="5"/>
  <c r="N75" i="5"/>
  <c r="O75" i="5"/>
  <c r="P75" i="5"/>
  <c r="Q75" i="5"/>
  <c r="H76" i="5"/>
  <c r="I76" i="5"/>
  <c r="J76" i="5"/>
  <c r="K76" i="5"/>
  <c r="L76" i="5"/>
  <c r="M76" i="5"/>
  <c r="N76" i="5"/>
  <c r="O76" i="5"/>
  <c r="P76" i="5"/>
  <c r="Q76" i="5"/>
  <c r="H77" i="5"/>
  <c r="I77" i="5"/>
  <c r="J77" i="5"/>
  <c r="K77" i="5"/>
  <c r="L77" i="5"/>
  <c r="M77" i="5"/>
  <c r="N77" i="5"/>
  <c r="O77" i="5"/>
  <c r="P77" i="5"/>
  <c r="Q77" i="5"/>
  <c r="H78" i="5"/>
  <c r="I78" i="5"/>
  <c r="J78" i="5"/>
  <c r="K78" i="5"/>
  <c r="L78" i="5"/>
  <c r="M78" i="5"/>
  <c r="N78" i="5"/>
  <c r="O78" i="5"/>
  <c r="P78" i="5"/>
  <c r="Q78" i="5"/>
  <c r="H79" i="5"/>
  <c r="I79" i="5"/>
  <c r="J79" i="5"/>
  <c r="K79" i="5"/>
  <c r="L79" i="5"/>
  <c r="M79" i="5"/>
  <c r="N79" i="5"/>
  <c r="O79" i="5"/>
  <c r="P79" i="5"/>
  <c r="Q79" i="5"/>
  <c r="H80" i="5"/>
  <c r="I80" i="5"/>
  <c r="J80" i="5"/>
  <c r="K80" i="5"/>
  <c r="L80" i="5"/>
  <c r="M80" i="5"/>
  <c r="N80" i="5"/>
  <c r="O80" i="5"/>
  <c r="P80" i="5"/>
  <c r="Q80" i="5"/>
  <c r="H81" i="5"/>
  <c r="I81" i="5"/>
  <c r="J81" i="5"/>
  <c r="K81" i="5"/>
  <c r="L81" i="5"/>
  <c r="M81" i="5"/>
  <c r="N81" i="5"/>
  <c r="O81" i="5"/>
  <c r="P81" i="5"/>
  <c r="Q81" i="5"/>
  <c r="H82" i="5"/>
  <c r="I82" i="5"/>
  <c r="J82" i="5"/>
  <c r="K82" i="5"/>
  <c r="L82" i="5"/>
  <c r="M82" i="5"/>
  <c r="N82" i="5"/>
  <c r="O82" i="5"/>
  <c r="P82" i="5"/>
  <c r="Q82" i="5"/>
  <c r="H83" i="5"/>
  <c r="I83" i="5"/>
  <c r="J83" i="5"/>
  <c r="K83" i="5"/>
  <c r="L83" i="5"/>
  <c r="M83" i="5"/>
  <c r="N83" i="5"/>
  <c r="O83" i="5"/>
  <c r="P83" i="5"/>
  <c r="Q83" i="5"/>
  <c r="H84" i="5"/>
  <c r="I84" i="5"/>
  <c r="J84" i="5"/>
  <c r="K84" i="5"/>
  <c r="L84" i="5"/>
  <c r="M84" i="5"/>
  <c r="N84" i="5"/>
  <c r="O84" i="5"/>
  <c r="P84" i="5"/>
  <c r="Q84" i="5"/>
  <c r="H85" i="5"/>
  <c r="I85" i="5"/>
  <c r="J85" i="5"/>
  <c r="K85" i="5"/>
  <c r="L85" i="5"/>
  <c r="M85" i="5"/>
  <c r="N85" i="5"/>
  <c r="O85" i="5"/>
  <c r="P85" i="5"/>
  <c r="Q85" i="5"/>
  <c r="H86" i="5"/>
  <c r="I86" i="5"/>
  <c r="J86" i="5"/>
  <c r="K86" i="5"/>
  <c r="L86" i="5"/>
  <c r="M86" i="5"/>
  <c r="N86" i="5"/>
  <c r="O86" i="5"/>
  <c r="P86" i="5"/>
  <c r="Q86" i="5"/>
  <c r="H87" i="5"/>
  <c r="I87" i="5"/>
  <c r="J87" i="5"/>
  <c r="K87" i="5"/>
  <c r="L87" i="5"/>
  <c r="M87" i="5"/>
  <c r="N87" i="5"/>
  <c r="O87" i="5"/>
  <c r="P87" i="5"/>
  <c r="Q87" i="5"/>
  <c r="H88" i="5"/>
  <c r="I88" i="5"/>
  <c r="J88" i="5"/>
  <c r="K88" i="5"/>
  <c r="L88" i="5"/>
  <c r="M88" i="5"/>
  <c r="N88" i="5"/>
  <c r="O88" i="5"/>
  <c r="P88" i="5"/>
  <c r="Q88" i="5"/>
  <c r="H89" i="5"/>
  <c r="I89" i="5"/>
  <c r="J89" i="5"/>
  <c r="K89" i="5"/>
  <c r="L89" i="5"/>
  <c r="M89" i="5"/>
  <c r="N89" i="5"/>
  <c r="O89" i="5"/>
  <c r="P89" i="5"/>
  <c r="Q89" i="5"/>
  <c r="H90" i="5"/>
  <c r="I90" i="5"/>
  <c r="J90" i="5"/>
  <c r="K90" i="5"/>
  <c r="L90" i="5"/>
  <c r="M90" i="5"/>
  <c r="N90" i="5"/>
  <c r="O90" i="5"/>
  <c r="P90" i="5"/>
  <c r="Q90" i="5"/>
  <c r="H91" i="5"/>
  <c r="I91" i="5"/>
  <c r="J91" i="5"/>
  <c r="K91" i="5"/>
  <c r="L91" i="5"/>
  <c r="M91" i="5"/>
  <c r="N91" i="5"/>
  <c r="O91" i="5"/>
  <c r="P91" i="5"/>
  <c r="Q91" i="5"/>
  <c r="H92" i="5"/>
  <c r="I92" i="5"/>
  <c r="J92" i="5"/>
  <c r="K92" i="5"/>
  <c r="L92" i="5"/>
  <c r="M92" i="5"/>
  <c r="N92" i="5"/>
  <c r="O92" i="5"/>
  <c r="P92" i="5"/>
  <c r="Q92" i="5"/>
  <c r="H93" i="5"/>
  <c r="I93" i="5"/>
  <c r="J93" i="5"/>
  <c r="K93" i="5"/>
  <c r="L93" i="5"/>
  <c r="M93" i="5"/>
  <c r="N93" i="5"/>
  <c r="O93" i="5"/>
  <c r="P93" i="5"/>
  <c r="Q93" i="5"/>
  <c r="H94" i="5"/>
  <c r="I94" i="5"/>
  <c r="J94" i="5"/>
  <c r="K94" i="5"/>
  <c r="L94" i="5"/>
  <c r="M94" i="5"/>
  <c r="N94" i="5"/>
  <c r="O94" i="5"/>
  <c r="P94" i="5"/>
  <c r="Q94" i="5"/>
  <c r="H95" i="5"/>
  <c r="I95" i="5"/>
  <c r="J95" i="5"/>
  <c r="K95" i="5"/>
  <c r="L95" i="5"/>
  <c r="M95" i="5"/>
  <c r="N95" i="5"/>
  <c r="O95" i="5"/>
  <c r="P95" i="5"/>
  <c r="Q95" i="5"/>
  <c r="H96" i="5"/>
  <c r="I96" i="5"/>
  <c r="J96" i="5"/>
  <c r="K96" i="5"/>
  <c r="L96" i="5"/>
  <c r="M96" i="5"/>
  <c r="N96" i="5"/>
  <c r="O96" i="5"/>
  <c r="P96" i="5"/>
  <c r="Q96" i="5"/>
  <c r="H97" i="5"/>
  <c r="I97" i="5"/>
  <c r="J97" i="5"/>
  <c r="K97" i="5"/>
  <c r="L97" i="5"/>
  <c r="M97" i="5"/>
  <c r="N97" i="5"/>
  <c r="O97" i="5"/>
  <c r="P97" i="5"/>
  <c r="Q97" i="5"/>
  <c r="H98" i="5"/>
  <c r="I98" i="5"/>
  <c r="J98" i="5"/>
  <c r="K98" i="5"/>
  <c r="L98" i="5"/>
  <c r="M98" i="5"/>
  <c r="N98" i="5"/>
  <c r="O98" i="5"/>
  <c r="P98" i="5"/>
  <c r="Q98" i="5"/>
  <c r="H99" i="5"/>
  <c r="I99" i="5"/>
  <c r="J99" i="5"/>
  <c r="K99" i="5"/>
  <c r="L99" i="5"/>
  <c r="M99" i="5"/>
  <c r="N99" i="5"/>
  <c r="O99" i="5"/>
  <c r="P99" i="5"/>
  <c r="Q99" i="5"/>
  <c r="H100" i="5"/>
  <c r="I100" i="5"/>
  <c r="J100" i="5"/>
  <c r="K100" i="5"/>
  <c r="L100" i="5"/>
  <c r="M100" i="5"/>
  <c r="N100" i="5"/>
  <c r="O100" i="5"/>
  <c r="P100" i="5"/>
  <c r="Q100" i="5"/>
  <c r="H101" i="5"/>
  <c r="I101" i="5"/>
  <c r="J101" i="5"/>
  <c r="K101" i="5"/>
  <c r="L101" i="5"/>
  <c r="M101" i="5"/>
  <c r="N101" i="5"/>
  <c r="O101" i="5"/>
  <c r="P101" i="5"/>
  <c r="Q101" i="5"/>
  <c r="H102" i="5"/>
  <c r="I102" i="5"/>
  <c r="J102" i="5"/>
  <c r="K102" i="5"/>
  <c r="L102" i="5"/>
  <c r="M102" i="5"/>
  <c r="N102" i="5"/>
  <c r="O102" i="5"/>
  <c r="P102" i="5"/>
  <c r="Q102" i="5"/>
  <c r="H103" i="5"/>
  <c r="I103" i="5"/>
  <c r="J103" i="5"/>
  <c r="K103" i="5"/>
  <c r="L103" i="5"/>
  <c r="M103" i="5"/>
  <c r="N103" i="5"/>
  <c r="O103" i="5"/>
  <c r="P103" i="5"/>
  <c r="Q103" i="5"/>
  <c r="H104" i="5"/>
  <c r="I104" i="5"/>
  <c r="J104" i="5"/>
  <c r="K104" i="5"/>
  <c r="L104" i="5"/>
  <c r="M104" i="5"/>
  <c r="N104" i="5"/>
  <c r="O104" i="5"/>
  <c r="P104" i="5"/>
  <c r="Q104" i="5"/>
  <c r="H105" i="5"/>
  <c r="I105" i="5"/>
  <c r="J105" i="5"/>
  <c r="K105" i="5"/>
  <c r="L105" i="5"/>
  <c r="M105" i="5"/>
  <c r="N105" i="5"/>
  <c r="O105" i="5"/>
  <c r="P105" i="5"/>
  <c r="Q105" i="5"/>
  <c r="H106" i="5"/>
  <c r="I106" i="5"/>
  <c r="J106" i="5"/>
  <c r="K106" i="5"/>
  <c r="L106" i="5"/>
  <c r="M106" i="5"/>
  <c r="N106" i="5"/>
  <c r="O106" i="5"/>
  <c r="P106" i="5"/>
  <c r="Q106" i="5"/>
  <c r="H107" i="5"/>
  <c r="I107" i="5"/>
  <c r="J107" i="5"/>
  <c r="K107" i="5"/>
  <c r="L107" i="5"/>
  <c r="M107" i="5"/>
  <c r="N107" i="5"/>
  <c r="O107" i="5"/>
  <c r="P107" i="5"/>
  <c r="Q107" i="5"/>
  <c r="H108" i="5"/>
  <c r="I108" i="5"/>
  <c r="J108" i="5"/>
  <c r="K108" i="5"/>
  <c r="L108" i="5"/>
  <c r="M108" i="5"/>
  <c r="N108" i="5"/>
  <c r="O108" i="5"/>
  <c r="P108" i="5"/>
  <c r="Q108" i="5"/>
  <c r="H109" i="5"/>
  <c r="I109" i="5"/>
  <c r="J109" i="5"/>
  <c r="K109" i="5"/>
  <c r="L109" i="5"/>
  <c r="M109" i="5"/>
  <c r="N109" i="5"/>
  <c r="O109" i="5"/>
  <c r="P109" i="5"/>
  <c r="Q109" i="5"/>
  <c r="I10" i="5"/>
  <c r="J10" i="5"/>
  <c r="K10" i="5"/>
  <c r="L10" i="5"/>
  <c r="M10" i="5"/>
  <c r="N10" i="5"/>
  <c r="O10" i="5"/>
  <c r="P10" i="5"/>
  <c r="Q10" i="5"/>
  <c r="H10" i="5"/>
  <c r="E3" i="4" a="1"/>
  <c r="E3" i="4" s="1"/>
  <c r="E8" i="3"/>
  <c r="O8" i="4"/>
  <c r="N8" i="4"/>
  <c r="L8" i="4"/>
  <c r="K8" i="4"/>
  <c r="AF3" i="4" a="1"/>
  <c r="AG8" i="4" s="1"/>
  <c r="AC3" i="4" a="1"/>
  <c r="AD8" i="4" s="1"/>
  <c r="Z3" i="4" a="1"/>
  <c r="AA8" i="4" s="1"/>
  <c r="W3" i="4" a="1"/>
  <c r="X8" i="4" s="1"/>
  <c r="T3" i="4" a="1"/>
  <c r="U8" i="4" s="1"/>
  <c r="Q3" i="4" a="1"/>
  <c r="Q3" i="4" s="1"/>
  <c r="N3" i="4" a="1"/>
  <c r="N3" i="4" s="1"/>
  <c r="K3" i="4" a="1"/>
  <c r="K3" i="4" s="1"/>
  <c r="H3" i="4" a="1"/>
  <c r="I8" i="4" s="1"/>
  <c r="AG8" i="3"/>
  <c r="AD8" i="3"/>
  <c r="AA8" i="3"/>
  <c r="X8" i="3"/>
  <c r="U8" i="3"/>
  <c r="R8" i="3"/>
  <c r="O8" i="3"/>
  <c r="L8" i="3"/>
  <c r="I8" i="3"/>
  <c r="AF8" i="3"/>
  <c r="AC8" i="3"/>
  <c r="Z8" i="3"/>
  <c r="W8" i="3"/>
  <c r="T8" i="3"/>
  <c r="Q8" i="3"/>
  <c r="N8" i="3"/>
  <c r="K8" i="3"/>
  <c r="H8" i="3"/>
  <c r="H11" i="3"/>
  <c r="I11" i="3"/>
  <c r="J11" i="3"/>
  <c r="K11" i="3"/>
  <c r="L11" i="3"/>
  <c r="M11" i="3"/>
  <c r="N11" i="3"/>
  <c r="W3" i="3" s="1" a="1"/>
  <c r="W3" i="3" s="1"/>
  <c r="O11" i="3"/>
  <c r="P11" i="3"/>
  <c r="Q11" i="3"/>
  <c r="H12" i="3"/>
  <c r="I12" i="3"/>
  <c r="J12" i="3"/>
  <c r="K3" i="3" s="1" a="1"/>
  <c r="K3" i="3" s="1"/>
  <c r="K12" i="3"/>
  <c r="L12" i="3"/>
  <c r="Q3" i="3" s="1" a="1"/>
  <c r="Q3" i="3" s="1"/>
  <c r="M12" i="3"/>
  <c r="N12" i="3"/>
  <c r="O12" i="3"/>
  <c r="P12" i="3"/>
  <c r="Q12" i="3"/>
  <c r="H13" i="3"/>
  <c r="I13" i="3"/>
  <c r="J13" i="3"/>
  <c r="K13" i="3"/>
  <c r="L13" i="3"/>
  <c r="M13" i="3"/>
  <c r="N13" i="3"/>
  <c r="O13" i="3"/>
  <c r="Z3" i="3" s="1" a="1"/>
  <c r="Z3" i="3" s="1"/>
  <c r="P13" i="3"/>
  <c r="Q13" i="3"/>
  <c r="H14" i="3"/>
  <c r="E3" i="3" s="1" a="1"/>
  <c r="E3" i="3" s="1"/>
  <c r="I14" i="3"/>
  <c r="H3" i="3" s="1" a="1"/>
  <c r="H3" i="3" s="1"/>
  <c r="J14" i="3"/>
  <c r="K14" i="3"/>
  <c r="L14" i="3"/>
  <c r="M14" i="3"/>
  <c r="N14" i="3"/>
  <c r="O14" i="3"/>
  <c r="P14" i="3"/>
  <c r="Q14" i="3"/>
  <c r="H15" i="3"/>
  <c r="I15" i="3"/>
  <c r="J15" i="3"/>
  <c r="K15" i="3"/>
  <c r="L15" i="3"/>
  <c r="M15" i="3"/>
  <c r="N15" i="3"/>
  <c r="O15" i="3"/>
  <c r="P15" i="3"/>
  <c r="Q15" i="3"/>
  <c r="H16" i="3"/>
  <c r="I16" i="3"/>
  <c r="J16" i="3"/>
  <c r="K16" i="3"/>
  <c r="L16" i="3"/>
  <c r="M16" i="3"/>
  <c r="N16" i="3"/>
  <c r="O16" i="3"/>
  <c r="P16" i="3"/>
  <c r="Q16" i="3"/>
  <c r="H17" i="3"/>
  <c r="I17" i="3"/>
  <c r="J17" i="3"/>
  <c r="K17" i="3"/>
  <c r="L17" i="3"/>
  <c r="M17" i="3"/>
  <c r="N17" i="3"/>
  <c r="O17" i="3"/>
  <c r="P17" i="3"/>
  <c r="Q17" i="3"/>
  <c r="H18" i="3"/>
  <c r="I18" i="3"/>
  <c r="J18" i="3"/>
  <c r="K18" i="3"/>
  <c r="L18" i="3"/>
  <c r="M18" i="3"/>
  <c r="N18" i="3"/>
  <c r="O18" i="3"/>
  <c r="P18" i="3"/>
  <c r="Q18" i="3"/>
  <c r="AF3" i="3" s="1" a="1"/>
  <c r="AF3" i="3" s="1"/>
  <c r="H19" i="3"/>
  <c r="I19" i="3"/>
  <c r="J19" i="3"/>
  <c r="K19" i="3"/>
  <c r="L19" i="3"/>
  <c r="M19" i="3"/>
  <c r="N19" i="3"/>
  <c r="O19" i="3"/>
  <c r="P19" i="3"/>
  <c r="Q19" i="3"/>
  <c r="H20" i="3"/>
  <c r="I20" i="3"/>
  <c r="J20" i="3"/>
  <c r="K20" i="3"/>
  <c r="L20" i="3"/>
  <c r="M20" i="3"/>
  <c r="N20" i="3"/>
  <c r="O20" i="3"/>
  <c r="P20" i="3"/>
  <c r="Q20" i="3"/>
  <c r="H21" i="3"/>
  <c r="I21" i="3"/>
  <c r="J21" i="3"/>
  <c r="K21" i="3"/>
  <c r="L21" i="3"/>
  <c r="M21" i="3"/>
  <c r="N21" i="3"/>
  <c r="O21" i="3"/>
  <c r="P21" i="3"/>
  <c r="Q21" i="3"/>
  <c r="H22" i="3"/>
  <c r="I22" i="3"/>
  <c r="J22" i="3"/>
  <c r="K22" i="3"/>
  <c r="L22" i="3"/>
  <c r="M22" i="3"/>
  <c r="N22" i="3"/>
  <c r="O22" i="3"/>
  <c r="P22" i="3"/>
  <c r="Q22" i="3"/>
  <c r="H23" i="3"/>
  <c r="I23" i="3"/>
  <c r="J23" i="3"/>
  <c r="K23" i="3"/>
  <c r="L23" i="3"/>
  <c r="M23" i="3"/>
  <c r="N23" i="3"/>
  <c r="O23" i="3"/>
  <c r="P23" i="3"/>
  <c r="Q23" i="3"/>
  <c r="H24" i="3"/>
  <c r="I24" i="3"/>
  <c r="J24" i="3"/>
  <c r="K24" i="3"/>
  <c r="L24" i="3"/>
  <c r="M24" i="3"/>
  <c r="N24" i="3"/>
  <c r="O24" i="3"/>
  <c r="P24" i="3"/>
  <c r="Q24" i="3"/>
  <c r="H25" i="3"/>
  <c r="I25" i="3"/>
  <c r="J25" i="3"/>
  <c r="K25" i="3"/>
  <c r="L25" i="3"/>
  <c r="M25" i="3"/>
  <c r="N25" i="3"/>
  <c r="O25" i="3"/>
  <c r="P25" i="3"/>
  <c r="Q25" i="3"/>
  <c r="H26" i="3"/>
  <c r="I26" i="3"/>
  <c r="J26" i="3"/>
  <c r="K26" i="3"/>
  <c r="L26" i="3"/>
  <c r="M26" i="3"/>
  <c r="N26" i="3"/>
  <c r="O26" i="3"/>
  <c r="P26" i="3"/>
  <c r="Q26" i="3"/>
  <c r="H27" i="3"/>
  <c r="I27" i="3"/>
  <c r="J27" i="3"/>
  <c r="K27" i="3"/>
  <c r="L27" i="3"/>
  <c r="M27" i="3"/>
  <c r="N27" i="3"/>
  <c r="O27" i="3"/>
  <c r="P27" i="3"/>
  <c r="Q27" i="3"/>
  <c r="H28" i="3"/>
  <c r="I28" i="3"/>
  <c r="J28" i="3"/>
  <c r="K28" i="3"/>
  <c r="L28" i="3"/>
  <c r="M28" i="3"/>
  <c r="N28" i="3"/>
  <c r="O28" i="3"/>
  <c r="P28" i="3"/>
  <c r="Q28" i="3"/>
  <c r="H29" i="3"/>
  <c r="I29" i="3"/>
  <c r="J29" i="3"/>
  <c r="K29" i="3"/>
  <c r="L29" i="3"/>
  <c r="M29" i="3"/>
  <c r="N29" i="3"/>
  <c r="O29" i="3"/>
  <c r="P29" i="3"/>
  <c r="Q29" i="3"/>
  <c r="H30" i="3"/>
  <c r="I30" i="3"/>
  <c r="J30" i="3"/>
  <c r="K30" i="3"/>
  <c r="L30" i="3"/>
  <c r="M30" i="3"/>
  <c r="N30" i="3"/>
  <c r="O30" i="3"/>
  <c r="P30" i="3"/>
  <c r="Q30" i="3"/>
  <c r="H31" i="3"/>
  <c r="I31" i="3"/>
  <c r="J31" i="3"/>
  <c r="K31" i="3"/>
  <c r="L31" i="3"/>
  <c r="M31" i="3"/>
  <c r="N31" i="3"/>
  <c r="O31" i="3"/>
  <c r="P31" i="3"/>
  <c r="Q31" i="3"/>
  <c r="H32" i="3"/>
  <c r="I32" i="3"/>
  <c r="J32" i="3"/>
  <c r="K32" i="3"/>
  <c r="L32" i="3"/>
  <c r="M32" i="3"/>
  <c r="N32" i="3"/>
  <c r="O32" i="3"/>
  <c r="P32" i="3"/>
  <c r="Q32" i="3"/>
  <c r="H33" i="3"/>
  <c r="I33" i="3"/>
  <c r="J33" i="3"/>
  <c r="K33" i="3"/>
  <c r="L33" i="3"/>
  <c r="M33" i="3"/>
  <c r="N33" i="3"/>
  <c r="O33" i="3"/>
  <c r="P33" i="3"/>
  <c r="Q33" i="3"/>
  <c r="H34" i="3"/>
  <c r="I34" i="3"/>
  <c r="J34" i="3"/>
  <c r="K34" i="3"/>
  <c r="L34" i="3"/>
  <c r="M34" i="3"/>
  <c r="N34" i="3"/>
  <c r="O34" i="3"/>
  <c r="P34" i="3"/>
  <c r="Q34" i="3"/>
  <c r="H35" i="3"/>
  <c r="I35" i="3"/>
  <c r="J35" i="3"/>
  <c r="K35" i="3"/>
  <c r="L35" i="3"/>
  <c r="M35" i="3"/>
  <c r="N35" i="3"/>
  <c r="O35" i="3"/>
  <c r="P35" i="3"/>
  <c r="Q35" i="3"/>
  <c r="H36" i="3"/>
  <c r="I36" i="3"/>
  <c r="J36" i="3"/>
  <c r="K36" i="3"/>
  <c r="L36" i="3"/>
  <c r="M36" i="3"/>
  <c r="N36" i="3"/>
  <c r="O36" i="3"/>
  <c r="P36" i="3"/>
  <c r="Q36" i="3"/>
  <c r="H37" i="3"/>
  <c r="I37" i="3"/>
  <c r="J37" i="3"/>
  <c r="K37" i="3"/>
  <c r="L37" i="3"/>
  <c r="M37" i="3"/>
  <c r="N37" i="3"/>
  <c r="O37" i="3"/>
  <c r="P37" i="3"/>
  <c r="Q37" i="3"/>
  <c r="H38" i="3"/>
  <c r="I38" i="3"/>
  <c r="J38" i="3"/>
  <c r="K38" i="3"/>
  <c r="L38" i="3"/>
  <c r="M38" i="3"/>
  <c r="N38" i="3"/>
  <c r="O38" i="3"/>
  <c r="P38" i="3"/>
  <c r="Q38" i="3"/>
  <c r="H39" i="3"/>
  <c r="I39" i="3"/>
  <c r="J39" i="3"/>
  <c r="K39" i="3"/>
  <c r="L39" i="3"/>
  <c r="M39" i="3"/>
  <c r="N39" i="3"/>
  <c r="O39" i="3"/>
  <c r="P39" i="3"/>
  <c r="Q39" i="3"/>
  <c r="H40" i="3"/>
  <c r="I40" i="3"/>
  <c r="J40" i="3"/>
  <c r="K40" i="3"/>
  <c r="L40" i="3"/>
  <c r="M40" i="3"/>
  <c r="N40" i="3"/>
  <c r="O40" i="3"/>
  <c r="P40" i="3"/>
  <c r="Q40" i="3"/>
  <c r="H41" i="3"/>
  <c r="I41" i="3"/>
  <c r="J41" i="3"/>
  <c r="K41" i="3"/>
  <c r="L41" i="3"/>
  <c r="M41" i="3"/>
  <c r="N41" i="3"/>
  <c r="O41" i="3"/>
  <c r="P41" i="3"/>
  <c r="Q41" i="3"/>
  <c r="H42" i="3"/>
  <c r="I42" i="3"/>
  <c r="J42" i="3"/>
  <c r="K42" i="3"/>
  <c r="L42" i="3"/>
  <c r="M42" i="3"/>
  <c r="N42" i="3"/>
  <c r="O42" i="3"/>
  <c r="P42" i="3"/>
  <c r="Q42" i="3"/>
  <c r="H43" i="3"/>
  <c r="I43" i="3"/>
  <c r="J43" i="3"/>
  <c r="K43" i="3"/>
  <c r="L43" i="3"/>
  <c r="M43" i="3"/>
  <c r="N43" i="3"/>
  <c r="O43" i="3"/>
  <c r="P43" i="3"/>
  <c r="Q43" i="3"/>
  <c r="H44" i="3"/>
  <c r="I44" i="3"/>
  <c r="J44" i="3"/>
  <c r="K44" i="3"/>
  <c r="L44" i="3"/>
  <c r="M44" i="3"/>
  <c r="N44" i="3"/>
  <c r="O44" i="3"/>
  <c r="P44" i="3"/>
  <c r="Q44" i="3"/>
  <c r="H45" i="3"/>
  <c r="I45" i="3"/>
  <c r="J45" i="3"/>
  <c r="K45" i="3"/>
  <c r="L45" i="3"/>
  <c r="M45" i="3"/>
  <c r="N45" i="3"/>
  <c r="O45" i="3"/>
  <c r="P45" i="3"/>
  <c r="Q45" i="3"/>
  <c r="H46" i="3"/>
  <c r="I46" i="3"/>
  <c r="J46" i="3"/>
  <c r="K46" i="3"/>
  <c r="L46" i="3"/>
  <c r="M46" i="3"/>
  <c r="N46" i="3"/>
  <c r="O46" i="3"/>
  <c r="P46" i="3"/>
  <c r="Q46" i="3"/>
  <c r="H47" i="3"/>
  <c r="I47" i="3"/>
  <c r="J47" i="3"/>
  <c r="K47" i="3"/>
  <c r="L47" i="3"/>
  <c r="M47" i="3"/>
  <c r="N47" i="3"/>
  <c r="O47" i="3"/>
  <c r="P47" i="3"/>
  <c r="Q47" i="3"/>
  <c r="H48" i="3"/>
  <c r="I48" i="3"/>
  <c r="J48" i="3"/>
  <c r="K48" i="3"/>
  <c r="L48" i="3"/>
  <c r="M48" i="3"/>
  <c r="N48" i="3"/>
  <c r="O48" i="3"/>
  <c r="P48" i="3"/>
  <c r="Q48" i="3"/>
  <c r="H49" i="3"/>
  <c r="I49" i="3"/>
  <c r="J49" i="3"/>
  <c r="K49" i="3"/>
  <c r="L49" i="3"/>
  <c r="M49" i="3"/>
  <c r="N49" i="3"/>
  <c r="O49" i="3"/>
  <c r="P49" i="3"/>
  <c r="Q49" i="3"/>
  <c r="H50" i="3"/>
  <c r="I50" i="3"/>
  <c r="J50" i="3"/>
  <c r="K50" i="3"/>
  <c r="L50" i="3"/>
  <c r="M50" i="3"/>
  <c r="N50" i="3"/>
  <c r="O50" i="3"/>
  <c r="P50" i="3"/>
  <c r="Q50" i="3"/>
  <c r="H51" i="3"/>
  <c r="I51" i="3"/>
  <c r="J51" i="3"/>
  <c r="K51" i="3"/>
  <c r="L51" i="3"/>
  <c r="M51" i="3"/>
  <c r="N51" i="3"/>
  <c r="O51" i="3"/>
  <c r="P51" i="3"/>
  <c r="Q51" i="3"/>
  <c r="H52" i="3"/>
  <c r="I52" i="3"/>
  <c r="J52" i="3"/>
  <c r="K52" i="3"/>
  <c r="L52" i="3"/>
  <c r="M52" i="3"/>
  <c r="N52" i="3"/>
  <c r="O52" i="3"/>
  <c r="P52" i="3"/>
  <c r="Q52" i="3"/>
  <c r="H53" i="3"/>
  <c r="I53" i="3"/>
  <c r="J53" i="3"/>
  <c r="K53" i="3"/>
  <c r="L53" i="3"/>
  <c r="M53" i="3"/>
  <c r="N53" i="3"/>
  <c r="O53" i="3"/>
  <c r="P53" i="3"/>
  <c r="Q53" i="3"/>
  <c r="H54" i="3"/>
  <c r="I54" i="3"/>
  <c r="J54" i="3"/>
  <c r="K54" i="3"/>
  <c r="L54" i="3"/>
  <c r="M54" i="3"/>
  <c r="N54" i="3"/>
  <c r="O54" i="3"/>
  <c r="P54" i="3"/>
  <c r="Q54" i="3"/>
  <c r="H55" i="3"/>
  <c r="I55" i="3"/>
  <c r="J55" i="3"/>
  <c r="K55" i="3"/>
  <c r="L55" i="3"/>
  <c r="M55" i="3"/>
  <c r="N55" i="3"/>
  <c r="O55" i="3"/>
  <c r="P55" i="3"/>
  <c r="Q55" i="3"/>
  <c r="H56" i="3"/>
  <c r="I56" i="3"/>
  <c r="J56" i="3"/>
  <c r="K56" i="3"/>
  <c r="L56" i="3"/>
  <c r="M56" i="3"/>
  <c r="N56" i="3"/>
  <c r="O56" i="3"/>
  <c r="P56" i="3"/>
  <c r="Q56" i="3"/>
  <c r="H57" i="3"/>
  <c r="I57" i="3"/>
  <c r="J57" i="3"/>
  <c r="K57" i="3"/>
  <c r="L57" i="3"/>
  <c r="M57" i="3"/>
  <c r="N57" i="3"/>
  <c r="O57" i="3"/>
  <c r="P57" i="3"/>
  <c r="Q57" i="3"/>
  <c r="H58" i="3"/>
  <c r="I58" i="3"/>
  <c r="J58" i="3"/>
  <c r="K58" i="3"/>
  <c r="L58" i="3"/>
  <c r="M58" i="3"/>
  <c r="N58" i="3"/>
  <c r="O58" i="3"/>
  <c r="P58" i="3"/>
  <c r="Q58" i="3"/>
  <c r="H59" i="3"/>
  <c r="I59" i="3"/>
  <c r="J59" i="3"/>
  <c r="K59" i="3"/>
  <c r="L59" i="3"/>
  <c r="M59" i="3"/>
  <c r="N59" i="3"/>
  <c r="O59" i="3"/>
  <c r="P59" i="3"/>
  <c r="Q59" i="3"/>
  <c r="H60" i="3"/>
  <c r="I60" i="3"/>
  <c r="J60" i="3"/>
  <c r="K60" i="3"/>
  <c r="L60" i="3"/>
  <c r="M60" i="3"/>
  <c r="N60" i="3"/>
  <c r="O60" i="3"/>
  <c r="P60" i="3"/>
  <c r="Q60" i="3"/>
  <c r="H61" i="3"/>
  <c r="I61" i="3"/>
  <c r="J61" i="3"/>
  <c r="K61" i="3"/>
  <c r="L61" i="3"/>
  <c r="M61" i="3"/>
  <c r="N61" i="3"/>
  <c r="O61" i="3"/>
  <c r="P61" i="3"/>
  <c r="Q61" i="3"/>
  <c r="H62" i="3"/>
  <c r="I62" i="3"/>
  <c r="J62" i="3"/>
  <c r="K62" i="3"/>
  <c r="L62" i="3"/>
  <c r="M62" i="3"/>
  <c r="N62" i="3"/>
  <c r="O62" i="3"/>
  <c r="P62" i="3"/>
  <c r="Q62" i="3"/>
  <c r="H63" i="3"/>
  <c r="I63" i="3"/>
  <c r="J63" i="3"/>
  <c r="K63" i="3"/>
  <c r="L63" i="3"/>
  <c r="M63" i="3"/>
  <c r="N63" i="3"/>
  <c r="O63" i="3"/>
  <c r="P63" i="3"/>
  <c r="Q63" i="3"/>
  <c r="H64" i="3"/>
  <c r="I64" i="3"/>
  <c r="J64" i="3"/>
  <c r="K64" i="3"/>
  <c r="L64" i="3"/>
  <c r="M64" i="3"/>
  <c r="N64" i="3"/>
  <c r="O64" i="3"/>
  <c r="P64" i="3"/>
  <c r="Q64" i="3"/>
  <c r="H65" i="3"/>
  <c r="I65" i="3"/>
  <c r="J65" i="3"/>
  <c r="K65" i="3"/>
  <c r="L65" i="3"/>
  <c r="M65" i="3"/>
  <c r="N65" i="3"/>
  <c r="O65" i="3"/>
  <c r="P65" i="3"/>
  <c r="Q65" i="3"/>
  <c r="H66" i="3"/>
  <c r="I66" i="3"/>
  <c r="J66" i="3"/>
  <c r="K66" i="3"/>
  <c r="L66" i="3"/>
  <c r="M66" i="3"/>
  <c r="N66" i="3"/>
  <c r="O66" i="3"/>
  <c r="P66" i="3"/>
  <c r="Q66" i="3"/>
  <c r="H67" i="3"/>
  <c r="I67" i="3"/>
  <c r="J67" i="3"/>
  <c r="K67" i="3"/>
  <c r="L67" i="3"/>
  <c r="M67" i="3"/>
  <c r="N67" i="3"/>
  <c r="O67" i="3"/>
  <c r="P67" i="3"/>
  <c r="Q67" i="3"/>
  <c r="H68" i="3"/>
  <c r="I68" i="3"/>
  <c r="J68" i="3"/>
  <c r="K68" i="3"/>
  <c r="L68" i="3"/>
  <c r="M68" i="3"/>
  <c r="N68" i="3"/>
  <c r="O68" i="3"/>
  <c r="P68" i="3"/>
  <c r="Q68" i="3"/>
  <c r="H69" i="3"/>
  <c r="I69" i="3"/>
  <c r="J69" i="3"/>
  <c r="K69" i="3"/>
  <c r="L69" i="3"/>
  <c r="M69" i="3"/>
  <c r="N69" i="3"/>
  <c r="O69" i="3"/>
  <c r="P69" i="3"/>
  <c r="Q69" i="3"/>
  <c r="H70" i="3"/>
  <c r="I70" i="3"/>
  <c r="J70" i="3"/>
  <c r="K70" i="3"/>
  <c r="L70" i="3"/>
  <c r="M70" i="3"/>
  <c r="N70" i="3"/>
  <c r="O70" i="3"/>
  <c r="P70" i="3"/>
  <c r="Q70" i="3"/>
  <c r="H71" i="3"/>
  <c r="I71" i="3"/>
  <c r="J71" i="3"/>
  <c r="K71" i="3"/>
  <c r="L71" i="3"/>
  <c r="M71" i="3"/>
  <c r="N71" i="3"/>
  <c r="O71" i="3"/>
  <c r="P71" i="3"/>
  <c r="Q71" i="3"/>
  <c r="H72" i="3"/>
  <c r="I72" i="3"/>
  <c r="J72" i="3"/>
  <c r="K72" i="3"/>
  <c r="L72" i="3"/>
  <c r="M72" i="3"/>
  <c r="N72" i="3"/>
  <c r="O72" i="3"/>
  <c r="P72" i="3"/>
  <c r="Q72" i="3"/>
  <c r="H73" i="3"/>
  <c r="I73" i="3"/>
  <c r="J73" i="3"/>
  <c r="K73" i="3"/>
  <c r="L73" i="3"/>
  <c r="M73" i="3"/>
  <c r="N73" i="3"/>
  <c r="O73" i="3"/>
  <c r="P73" i="3"/>
  <c r="Q73" i="3"/>
  <c r="H74" i="3"/>
  <c r="I74" i="3"/>
  <c r="J74" i="3"/>
  <c r="K74" i="3"/>
  <c r="L74" i="3"/>
  <c r="M74" i="3"/>
  <c r="N74" i="3"/>
  <c r="O74" i="3"/>
  <c r="P74" i="3"/>
  <c r="Q74" i="3"/>
  <c r="H75" i="3"/>
  <c r="I75" i="3"/>
  <c r="J75" i="3"/>
  <c r="K75" i="3"/>
  <c r="L75" i="3"/>
  <c r="M75" i="3"/>
  <c r="N75" i="3"/>
  <c r="O75" i="3"/>
  <c r="P75" i="3"/>
  <c r="Q75" i="3"/>
  <c r="H76" i="3"/>
  <c r="I76" i="3"/>
  <c r="J76" i="3"/>
  <c r="K76" i="3"/>
  <c r="L76" i="3"/>
  <c r="M76" i="3"/>
  <c r="N76" i="3"/>
  <c r="O76" i="3"/>
  <c r="P76" i="3"/>
  <c r="Q76" i="3"/>
  <c r="H77" i="3"/>
  <c r="I77" i="3"/>
  <c r="J77" i="3"/>
  <c r="K77" i="3"/>
  <c r="L77" i="3"/>
  <c r="M77" i="3"/>
  <c r="N77" i="3"/>
  <c r="O77" i="3"/>
  <c r="P77" i="3"/>
  <c r="Q77" i="3"/>
  <c r="H78" i="3"/>
  <c r="I78" i="3"/>
  <c r="J78" i="3"/>
  <c r="K78" i="3"/>
  <c r="L78" i="3"/>
  <c r="M78" i="3"/>
  <c r="N78" i="3"/>
  <c r="O78" i="3"/>
  <c r="P78" i="3"/>
  <c r="Q78" i="3"/>
  <c r="H79" i="3"/>
  <c r="I79" i="3"/>
  <c r="J79" i="3"/>
  <c r="K79" i="3"/>
  <c r="L79" i="3"/>
  <c r="M79" i="3"/>
  <c r="N79" i="3"/>
  <c r="O79" i="3"/>
  <c r="P79" i="3"/>
  <c r="Q79" i="3"/>
  <c r="H80" i="3"/>
  <c r="I80" i="3"/>
  <c r="J80" i="3"/>
  <c r="K80" i="3"/>
  <c r="L80" i="3"/>
  <c r="M80" i="3"/>
  <c r="N80" i="3"/>
  <c r="O80" i="3"/>
  <c r="P80" i="3"/>
  <c r="Q80" i="3"/>
  <c r="H81" i="3"/>
  <c r="I81" i="3"/>
  <c r="J81" i="3"/>
  <c r="K81" i="3"/>
  <c r="L81" i="3"/>
  <c r="M81" i="3"/>
  <c r="N81" i="3"/>
  <c r="O81" i="3"/>
  <c r="P81" i="3"/>
  <c r="Q81" i="3"/>
  <c r="H82" i="3"/>
  <c r="I82" i="3"/>
  <c r="J82" i="3"/>
  <c r="K82" i="3"/>
  <c r="L82" i="3"/>
  <c r="M82" i="3"/>
  <c r="N82" i="3"/>
  <c r="O82" i="3"/>
  <c r="P82" i="3"/>
  <c r="Q82" i="3"/>
  <c r="H83" i="3"/>
  <c r="I83" i="3"/>
  <c r="J83" i="3"/>
  <c r="K83" i="3"/>
  <c r="L83" i="3"/>
  <c r="M83" i="3"/>
  <c r="N83" i="3"/>
  <c r="O83" i="3"/>
  <c r="P83" i="3"/>
  <c r="Q83" i="3"/>
  <c r="H84" i="3"/>
  <c r="I84" i="3"/>
  <c r="J84" i="3"/>
  <c r="K84" i="3"/>
  <c r="L84" i="3"/>
  <c r="M84" i="3"/>
  <c r="N84" i="3"/>
  <c r="O84" i="3"/>
  <c r="P84" i="3"/>
  <c r="Q84" i="3"/>
  <c r="H85" i="3"/>
  <c r="I85" i="3"/>
  <c r="J85" i="3"/>
  <c r="K85" i="3"/>
  <c r="L85" i="3"/>
  <c r="M85" i="3"/>
  <c r="N85" i="3"/>
  <c r="O85" i="3"/>
  <c r="P85" i="3"/>
  <c r="Q85" i="3"/>
  <c r="H86" i="3"/>
  <c r="I86" i="3"/>
  <c r="J86" i="3"/>
  <c r="K86" i="3"/>
  <c r="L86" i="3"/>
  <c r="M86" i="3"/>
  <c r="N86" i="3"/>
  <c r="O86" i="3"/>
  <c r="P86" i="3"/>
  <c r="Q86" i="3"/>
  <c r="H87" i="3"/>
  <c r="I87" i="3"/>
  <c r="J87" i="3"/>
  <c r="K87" i="3"/>
  <c r="L87" i="3"/>
  <c r="M87" i="3"/>
  <c r="N87" i="3"/>
  <c r="O87" i="3"/>
  <c r="P87" i="3"/>
  <c r="Q87" i="3"/>
  <c r="H88" i="3"/>
  <c r="I88" i="3"/>
  <c r="J88" i="3"/>
  <c r="K88" i="3"/>
  <c r="L88" i="3"/>
  <c r="M88" i="3"/>
  <c r="N88" i="3"/>
  <c r="O88" i="3"/>
  <c r="P88" i="3"/>
  <c r="Q88" i="3"/>
  <c r="H89" i="3"/>
  <c r="I89" i="3"/>
  <c r="J89" i="3"/>
  <c r="K89" i="3"/>
  <c r="L89" i="3"/>
  <c r="M89" i="3"/>
  <c r="N89" i="3"/>
  <c r="O89" i="3"/>
  <c r="P89" i="3"/>
  <c r="Q89" i="3"/>
  <c r="H90" i="3"/>
  <c r="I90" i="3"/>
  <c r="J90" i="3"/>
  <c r="K90" i="3"/>
  <c r="L90" i="3"/>
  <c r="M90" i="3"/>
  <c r="N90" i="3"/>
  <c r="O90" i="3"/>
  <c r="P90" i="3"/>
  <c r="Q90" i="3"/>
  <c r="H91" i="3"/>
  <c r="I91" i="3"/>
  <c r="J91" i="3"/>
  <c r="K91" i="3"/>
  <c r="L91" i="3"/>
  <c r="M91" i="3"/>
  <c r="N91" i="3"/>
  <c r="O91" i="3"/>
  <c r="P91" i="3"/>
  <c r="Q91" i="3"/>
  <c r="H92" i="3"/>
  <c r="I92" i="3"/>
  <c r="J92" i="3"/>
  <c r="K92" i="3"/>
  <c r="L92" i="3"/>
  <c r="M92" i="3"/>
  <c r="N92" i="3"/>
  <c r="O92" i="3"/>
  <c r="P92" i="3"/>
  <c r="Q92" i="3"/>
  <c r="H93" i="3"/>
  <c r="I93" i="3"/>
  <c r="J93" i="3"/>
  <c r="K93" i="3"/>
  <c r="L93" i="3"/>
  <c r="M93" i="3"/>
  <c r="N93" i="3"/>
  <c r="O93" i="3"/>
  <c r="P93" i="3"/>
  <c r="Q93" i="3"/>
  <c r="H94" i="3"/>
  <c r="I94" i="3"/>
  <c r="J94" i="3"/>
  <c r="K94" i="3"/>
  <c r="L94" i="3"/>
  <c r="M94" i="3"/>
  <c r="N94" i="3"/>
  <c r="O94" i="3"/>
  <c r="P94" i="3"/>
  <c r="Q94" i="3"/>
  <c r="H95" i="3"/>
  <c r="I95" i="3"/>
  <c r="J95" i="3"/>
  <c r="K95" i="3"/>
  <c r="L95" i="3"/>
  <c r="M95" i="3"/>
  <c r="N95" i="3"/>
  <c r="O95" i="3"/>
  <c r="P95" i="3"/>
  <c r="Q95" i="3"/>
  <c r="H96" i="3"/>
  <c r="I96" i="3"/>
  <c r="J96" i="3"/>
  <c r="K96" i="3"/>
  <c r="L96" i="3"/>
  <c r="M96" i="3"/>
  <c r="N96" i="3"/>
  <c r="O96" i="3"/>
  <c r="P96" i="3"/>
  <c r="Q96" i="3"/>
  <c r="H97" i="3"/>
  <c r="I97" i="3"/>
  <c r="J97" i="3"/>
  <c r="K97" i="3"/>
  <c r="L97" i="3"/>
  <c r="M97" i="3"/>
  <c r="N97" i="3"/>
  <c r="O97" i="3"/>
  <c r="P97" i="3"/>
  <c r="Q97" i="3"/>
  <c r="H98" i="3"/>
  <c r="I98" i="3"/>
  <c r="J98" i="3"/>
  <c r="K98" i="3"/>
  <c r="L98" i="3"/>
  <c r="M98" i="3"/>
  <c r="N98" i="3"/>
  <c r="O98" i="3"/>
  <c r="P98" i="3"/>
  <c r="Q98" i="3"/>
  <c r="H99" i="3"/>
  <c r="I99" i="3"/>
  <c r="J99" i="3"/>
  <c r="K99" i="3"/>
  <c r="L99" i="3"/>
  <c r="M99" i="3"/>
  <c r="N99" i="3"/>
  <c r="O99" i="3"/>
  <c r="P99" i="3"/>
  <c r="Q99" i="3"/>
  <c r="H100" i="3"/>
  <c r="I100" i="3"/>
  <c r="J100" i="3"/>
  <c r="K100" i="3"/>
  <c r="L100" i="3"/>
  <c r="M100" i="3"/>
  <c r="N100" i="3"/>
  <c r="O100" i="3"/>
  <c r="P100" i="3"/>
  <c r="Q100" i="3"/>
  <c r="H101" i="3"/>
  <c r="I101" i="3"/>
  <c r="J101" i="3"/>
  <c r="K101" i="3"/>
  <c r="L101" i="3"/>
  <c r="M101" i="3"/>
  <c r="N101" i="3"/>
  <c r="O101" i="3"/>
  <c r="P101" i="3"/>
  <c r="Q101" i="3"/>
  <c r="H102" i="3"/>
  <c r="I102" i="3"/>
  <c r="J102" i="3"/>
  <c r="K102" i="3"/>
  <c r="L102" i="3"/>
  <c r="M102" i="3"/>
  <c r="N102" i="3"/>
  <c r="O102" i="3"/>
  <c r="P102" i="3"/>
  <c r="Q102" i="3"/>
  <c r="H103" i="3"/>
  <c r="I103" i="3"/>
  <c r="J103" i="3"/>
  <c r="K103" i="3"/>
  <c r="L103" i="3"/>
  <c r="M103" i="3"/>
  <c r="N103" i="3"/>
  <c r="O103" i="3"/>
  <c r="P103" i="3"/>
  <c r="Q103" i="3"/>
  <c r="H104" i="3"/>
  <c r="I104" i="3"/>
  <c r="J104" i="3"/>
  <c r="K104" i="3"/>
  <c r="L104" i="3"/>
  <c r="M104" i="3"/>
  <c r="N104" i="3"/>
  <c r="O104" i="3"/>
  <c r="P104" i="3"/>
  <c r="Q104" i="3"/>
  <c r="H105" i="3"/>
  <c r="I105" i="3"/>
  <c r="J105" i="3"/>
  <c r="K105" i="3"/>
  <c r="L105" i="3"/>
  <c r="M105" i="3"/>
  <c r="N105" i="3"/>
  <c r="O105" i="3"/>
  <c r="P105" i="3"/>
  <c r="Q105" i="3"/>
  <c r="H106" i="3"/>
  <c r="I106" i="3"/>
  <c r="J106" i="3"/>
  <c r="K106" i="3"/>
  <c r="L106" i="3"/>
  <c r="M106" i="3"/>
  <c r="N106" i="3"/>
  <c r="O106" i="3"/>
  <c r="P106" i="3"/>
  <c r="Q106" i="3"/>
  <c r="H107" i="3"/>
  <c r="I107" i="3"/>
  <c r="J107" i="3"/>
  <c r="K107" i="3"/>
  <c r="L107" i="3"/>
  <c r="M107" i="3"/>
  <c r="N107" i="3"/>
  <c r="O107" i="3"/>
  <c r="P107" i="3"/>
  <c r="Q107" i="3"/>
  <c r="H108" i="3"/>
  <c r="I108" i="3"/>
  <c r="J108" i="3"/>
  <c r="K108" i="3"/>
  <c r="L108" i="3"/>
  <c r="M108" i="3"/>
  <c r="N108" i="3"/>
  <c r="O108" i="3"/>
  <c r="P108" i="3"/>
  <c r="Q108" i="3"/>
  <c r="H109" i="3"/>
  <c r="I109" i="3"/>
  <c r="J109" i="3"/>
  <c r="K109" i="3"/>
  <c r="L109" i="3"/>
  <c r="M109" i="3"/>
  <c r="N109" i="3"/>
  <c r="O109" i="3"/>
  <c r="P109" i="3"/>
  <c r="Q109" i="3"/>
  <c r="I10" i="3"/>
  <c r="J10" i="3"/>
  <c r="K10" i="3"/>
  <c r="L10" i="3"/>
  <c r="M10" i="3"/>
  <c r="N10" i="3"/>
  <c r="O10" i="3"/>
  <c r="P10" i="3"/>
  <c r="Q10" i="3"/>
  <c r="H10" i="3"/>
  <c r="AC3" i="3" a="1"/>
  <c r="AC3" i="3" s="1"/>
  <c r="T3" i="3" a="1"/>
  <c r="T3" i="3" s="1"/>
  <c r="H11" i="4"/>
  <c r="I11" i="4"/>
  <c r="J11" i="4"/>
  <c r="K11" i="4"/>
  <c r="L11" i="4"/>
  <c r="M11" i="4"/>
  <c r="N11" i="4"/>
  <c r="O11" i="4"/>
  <c r="P11" i="4"/>
  <c r="Q11" i="4"/>
  <c r="H12" i="4"/>
  <c r="I12" i="4"/>
  <c r="J12" i="4"/>
  <c r="K12" i="4"/>
  <c r="L12" i="4"/>
  <c r="M12" i="4"/>
  <c r="N12" i="4"/>
  <c r="O12" i="4"/>
  <c r="P12" i="4"/>
  <c r="Q12" i="4"/>
  <c r="H13" i="4"/>
  <c r="I13" i="4"/>
  <c r="J13" i="4"/>
  <c r="K13" i="4"/>
  <c r="L13" i="4"/>
  <c r="M13" i="4"/>
  <c r="N13" i="4"/>
  <c r="O13" i="4"/>
  <c r="P13" i="4"/>
  <c r="Q13" i="4"/>
  <c r="H14" i="4"/>
  <c r="I14" i="4"/>
  <c r="J14" i="4"/>
  <c r="K14" i="4"/>
  <c r="L14" i="4"/>
  <c r="M14" i="4"/>
  <c r="N14" i="4"/>
  <c r="O14" i="4"/>
  <c r="P14" i="4"/>
  <c r="Q14" i="4"/>
  <c r="H15" i="4"/>
  <c r="I15" i="4"/>
  <c r="J15" i="4"/>
  <c r="K15" i="4"/>
  <c r="L15" i="4"/>
  <c r="M15" i="4"/>
  <c r="N15" i="4"/>
  <c r="O15" i="4"/>
  <c r="P15" i="4"/>
  <c r="Q15" i="4"/>
  <c r="H16" i="4"/>
  <c r="I16" i="4"/>
  <c r="J16" i="4"/>
  <c r="K16" i="4"/>
  <c r="L16" i="4"/>
  <c r="M16" i="4"/>
  <c r="N16" i="4"/>
  <c r="O16" i="4"/>
  <c r="P16" i="4"/>
  <c r="Q16" i="4"/>
  <c r="H17" i="4"/>
  <c r="I17" i="4"/>
  <c r="J17" i="4"/>
  <c r="K17" i="4"/>
  <c r="L17" i="4"/>
  <c r="M17" i="4"/>
  <c r="N17" i="4"/>
  <c r="O17" i="4"/>
  <c r="P17" i="4"/>
  <c r="Q17" i="4"/>
  <c r="H18" i="4"/>
  <c r="I18" i="4"/>
  <c r="J18" i="4"/>
  <c r="K18" i="4"/>
  <c r="L18" i="4"/>
  <c r="M18" i="4"/>
  <c r="N18" i="4"/>
  <c r="O18" i="4"/>
  <c r="P18" i="4"/>
  <c r="Q18" i="4"/>
  <c r="H19" i="4"/>
  <c r="I19" i="4"/>
  <c r="J19" i="4"/>
  <c r="K19" i="4"/>
  <c r="L19" i="4"/>
  <c r="M19" i="4"/>
  <c r="N19" i="4"/>
  <c r="O19" i="4"/>
  <c r="P19" i="4"/>
  <c r="Q19" i="4"/>
  <c r="H20" i="4"/>
  <c r="I20" i="4"/>
  <c r="J20" i="4"/>
  <c r="K20" i="4"/>
  <c r="L20" i="4"/>
  <c r="M20" i="4"/>
  <c r="N20" i="4"/>
  <c r="O20" i="4"/>
  <c r="P20" i="4"/>
  <c r="Q20" i="4"/>
  <c r="H21" i="4"/>
  <c r="I21" i="4"/>
  <c r="J21" i="4"/>
  <c r="K21" i="4"/>
  <c r="L21" i="4"/>
  <c r="M21" i="4"/>
  <c r="N21" i="4"/>
  <c r="O21" i="4"/>
  <c r="P21" i="4"/>
  <c r="Q21" i="4"/>
  <c r="H22" i="4"/>
  <c r="I22" i="4"/>
  <c r="J22" i="4"/>
  <c r="K22" i="4"/>
  <c r="L22" i="4"/>
  <c r="M22" i="4"/>
  <c r="N22" i="4"/>
  <c r="O22" i="4"/>
  <c r="P22" i="4"/>
  <c r="Q22" i="4"/>
  <c r="H23" i="4"/>
  <c r="I23" i="4"/>
  <c r="J23" i="4"/>
  <c r="K23" i="4"/>
  <c r="L23" i="4"/>
  <c r="M23" i="4"/>
  <c r="N23" i="4"/>
  <c r="O23" i="4"/>
  <c r="P23" i="4"/>
  <c r="Q23" i="4"/>
  <c r="H24" i="4"/>
  <c r="I24" i="4"/>
  <c r="J24" i="4"/>
  <c r="K24" i="4"/>
  <c r="L24" i="4"/>
  <c r="M24" i="4"/>
  <c r="N24" i="4"/>
  <c r="O24" i="4"/>
  <c r="P24" i="4"/>
  <c r="Q24" i="4"/>
  <c r="H25" i="4"/>
  <c r="I25" i="4"/>
  <c r="J25" i="4"/>
  <c r="K25" i="4"/>
  <c r="L25" i="4"/>
  <c r="M25" i="4"/>
  <c r="N25" i="4"/>
  <c r="O25" i="4"/>
  <c r="P25" i="4"/>
  <c r="Q25" i="4"/>
  <c r="H26" i="4"/>
  <c r="I26" i="4"/>
  <c r="J26" i="4"/>
  <c r="K26" i="4"/>
  <c r="L26" i="4"/>
  <c r="M26" i="4"/>
  <c r="N26" i="4"/>
  <c r="O26" i="4"/>
  <c r="P26" i="4"/>
  <c r="Q26" i="4"/>
  <c r="H27" i="4"/>
  <c r="I27" i="4"/>
  <c r="J27" i="4"/>
  <c r="K27" i="4"/>
  <c r="L27" i="4"/>
  <c r="M27" i="4"/>
  <c r="N27" i="4"/>
  <c r="O27" i="4"/>
  <c r="P27" i="4"/>
  <c r="Q27" i="4"/>
  <c r="H28" i="4"/>
  <c r="I28" i="4"/>
  <c r="J28" i="4"/>
  <c r="K28" i="4"/>
  <c r="L28" i="4"/>
  <c r="M28" i="4"/>
  <c r="N28" i="4"/>
  <c r="O28" i="4"/>
  <c r="P28" i="4"/>
  <c r="Q28" i="4"/>
  <c r="H29" i="4"/>
  <c r="I29" i="4"/>
  <c r="J29" i="4"/>
  <c r="K29" i="4"/>
  <c r="L29" i="4"/>
  <c r="M29" i="4"/>
  <c r="N29" i="4"/>
  <c r="O29" i="4"/>
  <c r="P29" i="4"/>
  <c r="Q29" i="4"/>
  <c r="H30" i="4"/>
  <c r="I30" i="4"/>
  <c r="J30" i="4"/>
  <c r="K30" i="4"/>
  <c r="L30" i="4"/>
  <c r="M30" i="4"/>
  <c r="N30" i="4"/>
  <c r="O30" i="4"/>
  <c r="P30" i="4"/>
  <c r="Q30" i="4"/>
  <c r="H31" i="4"/>
  <c r="I31" i="4"/>
  <c r="J31" i="4"/>
  <c r="K31" i="4"/>
  <c r="L31" i="4"/>
  <c r="M31" i="4"/>
  <c r="N31" i="4"/>
  <c r="O31" i="4"/>
  <c r="P31" i="4"/>
  <c r="Q31" i="4"/>
  <c r="H32" i="4"/>
  <c r="I32" i="4"/>
  <c r="J32" i="4"/>
  <c r="K32" i="4"/>
  <c r="L32" i="4"/>
  <c r="M32" i="4"/>
  <c r="N32" i="4"/>
  <c r="O32" i="4"/>
  <c r="P32" i="4"/>
  <c r="Q32" i="4"/>
  <c r="H33" i="4"/>
  <c r="I33" i="4"/>
  <c r="J33" i="4"/>
  <c r="K33" i="4"/>
  <c r="L33" i="4"/>
  <c r="M33" i="4"/>
  <c r="N33" i="4"/>
  <c r="O33" i="4"/>
  <c r="P33" i="4"/>
  <c r="Q33" i="4"/>
  <c r="H34" i="4"/>
  <c r="I34" i="4"/>
  <c r="J34" i="4"/>
  <c r="K34" i="4"/>
  <c r="L34" i="4"/>
  <c r="M34" i="4"/>
  <c r="N34" i="4"/>
  <c r="O34" i="4"/>
  <c r="P34" i="4"/>
  <c r="Q34" i="4"/>
  <c r="H35" i="4"/>
  <c r="I35" i="4"/>
  <c r="J35" i="4"/>
  <c r="K35" i="4"/>
  <c r="L35" i="4"/>
  <c r="M35" i="4"/>
  <c r="N35" i="4"/>
  <c r="O35" i="4"/>
  <c r="P35" i="4"/>
  <c r="Q35" i="4"/>
  <c r="H36" i="4"/>
  <c r="I36" i="4"/>
  <c r="J36" i="4"/>
  <c r="K36" i="4"/>
  <c r="L36" i="4"/>
  <c r="M36" i="4"/>
  <c r="N36" i="4"/>
  <c r="O36" i="4"/>
  <c r="P36" i="4"/>
  <c r="Q36" i="4"/>
  <c r="H37" i="4"/>
  <c r="I37" i="4"/>
  <c r="J37" i="4"/>
  <c r="K37" i="4"/>
  <c r="L37" i="4"/>
  <c r="M37" i="4"/>
  <c r="N37" i="4"/>
  <c r="O37" i="4"/>
  <c r="P37" i="4"/>
  <c r="Q37" i="4"/>
  <c r="H38" i="4"/>
  <c r="I38" i="4"/>
  <c r="J38" i="4"/>
  <c r="K38" i="4"/>
  <c r="L38" i="4"/>
  <c r="M38" i="4"/>
  <c r="N38" i="4"/>
  <c r="O38" i="4"/>
  <c r="P38" i="4"/>
  <c r="Q38" i="4"/>
  <c r="H39" i="4"/>
  <c r="I39" i="4"/>
  <c r="J39" i="4"/>
  <c r="K39" i="4"/>
  <c r="L39" i="4"/>
  <c r="M39" i="4"/>
  <c r="N39" i="4"/>
  <c r="O39" i="4"/>
  <c r="P39" i="4"/>
  <c r="Q39" i="4"/>
  <c r="H40" i="4"/>
  <c r="I40" i="4"/>
  <c r="J40" i="4"/>
  <c r="K40" i="4"/>
  <c r="L40" i="4"/>
  <c r="M40" i="4"/>
  <c r="N40" i="4"/>
  <c r="O40" i="4"/>
  <c r="P40" i="4"/>
  <c r="Q40" i="4"/>
  <c r="H41" i="4"/>
  <c r="I41" i="4"/>
  <c r="J41" i="4"/>
  <c r="K41" i="4"/>
  <c r="L41" i="4"/>
  <c r="M41" i="4"/>
  <c r="N41" i="4"/>
  <c r="O41" i="4"/>
  <c r="P41" i="4"/>
  <c r="Q41" i="4"/>
  <c r="H42" i="4"/>
  <c r="I42" i="4"/>
  <c r="J42" i="4"/>
  <c r="K42" i="4"/>
  <c r="L42" i="4"/>
  <c r="M42" i="4"/>
  <c r="N42" i="4"/>
  <c r="O42" i="4"/>
  <c r="P42" i="4"/>
  <c r="Q42" i="4"/>
  <c r="H43" i="4"/>
  <c r="I43" i="4"/>
  <c r="J43" i="4"/>
  <c r="K43" i="4"/>
  <c r="L43" i="4"/>
  <c r="M43" i="4"/>
  <c r="N43" i="4"/>
  <c r="O43" i="4"/>
  <c r="P43" i="4"/>
  <c r="Q43" i="4"/>
  <c r="H44" i="4"/>
  <c r="I44" i="4"/>
  <c r="J44" i="4"/>
  <c r="K44" i="4"/>
  <c r="L44" i="4"/>
  <c r="M44" i="4"/>
  <c r="N44" i="4"/>
  <c r="O44" i="4"/>
  <c r="P44" i="4"/>
  <c r="Q44" i="4"/>
  <c r="H45" i="4"/>
  <c r="I45" i="4"/>
  <c r="J45" i="4"/>
  <c r="K45" i="4"/>
  <c r="L45" i="4"/>
  <c r="M45" i="4"/>
  <c r="N45" i="4"/>
  <c r="O45" i="4"/>
  <c r="P45" i="4"/>
  <c r="Q45" i="4"/>
  <c r="H46" i="4"/>
  <c r="I46" i="4"/>
  <c r="J46" i="4"/>
  <c r="K46" i="4"/>
  <c r="L46" i="4"/>
  <c r="M46" i="4"/>
  <c r="N46" i="4"/>
  <c r="O46" i="4"/>
  <c r="P46" i="4"/>
  <c r="Q46" i="4"/>
  <c r="H47" i="4"/>
  <c r="I47" i="4"/>
  <c r="J47" i="4"/>
  <c r="K47" i="4"/>
  <c r="L47" i="4"/>
  <c r="M47" i="4"/>
  <c r="N47" i="4"/>
  <c r="O47" i="4"/>
  <c r="P47" i="4"/>
  <c r="Q47" i="4"/>
  <c r="H48" i="4"/>
  <c r="I48" i="4"/>
  <c r="J48" i="4"/>
  <c r="K48" i="4"/>
  <c r="L48" i="4"/>
  <c r="M48" i="4"/>
  <c r="N48" i="4"/>
  <c r="O48" i="4"/>
  <c r="P48" i="4"/>
  <c r="Q48" i="4"/>
  <c r="H49" i="4"/>
  <c r="I49" i="4"/>
  <c r="J49" i="4"/>
  <c r="K49" i="4"/>
  <c r="L49" i="4"/>
  <c r="M49" i="4"/>
  <c r="N49" i="4"/>
  <c r="O49" i="4"/>
  <c r="P49" i="4"/>
  <c r="Q49" i="4"/>
  <c r="H50" i="4"/>
  <c r="I50" i="4"/>
  <c r="J50" i="4"/>
  <c r="K50" i="4"/>
  <c r="L50" i="4"/>
  <c r="M50" i="4"/>
  <c r="N50" i="4"/>
  <c r="O50" i="4"/>
  <c r="P50" i="4"/>
  <c r="Q50" i="4"/>
  <c r="H51" i="4"/>
  <c r="I51" i="4"/>
  <c r="J51" i="4"/>
  <c r="K51" i="4"/>
  <c r="L51" i="4"/>
  <c r="M51" i="4"/>
  <c r="N51" i="4"/>
  <c r="O51" i="4"/>
  <c r="P51" i="4"/>
  <c r="Q51" i="4"/>
  <c r="H52" i="4"/>
  <c r="I52" i="4"/>
  <c r="J52" i="4"/>
  <c r="K52" i="4"/>
  <c r="L52" i="4"/>
  <c r="M52" i="4"/>
  <c r="N52" i="4"/>
  <c r="O52" i="4"/>
  <c r="P52" i="4"/>
  <c r="Q52" i="4"/>
  <c r="H53" i="4"/>
  <c r="I53" i="4"/>
  <c r="J53" i="4"/>
  <c r="K53" i="4"/>
  <c r="L53" i="4"/>
  <c r="M53" i="4"/>
  <c r="N53" i="4"/>
  <c r="O53" i="4"/>
  <c r="P53" i="4"/>
  <c r="Q53" i="4"/>
  <c r="H54" i="4"/>
  <c r="I54" i="4"/>
  <c r="J54" i="4"/>
  <c r="K54" i="4"/>
  <c r="L54" i="4"/>
  <c r="M54" i="4"/>
  <c r="N54" i="4"/>
  <c r="O54" i="4"/>
  <c r="P54" i="4"/>
  <c r="Q54" i="4"/>
  <c r="H55" i="4"/>
  <c r="I55" i="4"/>
  <c r="J55" i="4"/>
  <c r="K55" i="4"/>
  <c r="L55" i="4"/>
  <c r="M55" i="4"/>
  <c r="N55" i="4"/>
  <c r="O55" i="4"/>
  <c r="P55" i="4"/>
  <c r="Q55" i="4"/>
  <c r="H56" i="4"/>
  <c r="I56" i="4"/>
  <c r="J56" i="4"/>
  <c r="K56" i="4"/>
  <c r="L56" i="4"/>
  <c r="M56" i="4"/>
  <c r="N56" i="4"/>
  <c r="O56" i="4"/>
  <c r="P56" i="4"/>
  <c r="Q56" i="4"/>
  <c r="H57" i="4"/>
  <c r="I57" i="4"/>
  <c r="J57" i="4"/>
  <c r="K57" i="4"/>
  <c r="L57" i="4"/>
  <c r="M57" i="4"/>
  <c r="N57" i="4"/>
  <c r="O57" i="4"/>
  <c r="P57" i="4"/>
  <c r="Q57" i="4"/>
  <c r="H58" i="4"/>
  <c r="I58" i="4"/>
  <c r="J58" i="4"/>
  <c r="K58" i="4"/>
  <c r="L58" i="4"/>
  <c r="M58" i="4"/>
  <c r="N58" i="4"/>
  <c r="O58" i="4"/>
  <c r="P58" i="4"/>
  <c r="Q58" i="4"/>
  <c r="H59" i="4"/>
  <c r="I59" i="4"/>
  <c r="J59" i="4"/>
  <c r="K59" i="4"/>
  <c r="L59" i="4"/>
  <c r="M59" i="4"/>
  <c r="N59" i="4"/>
  <c r="O59" i="4"/>
  <c r="P59" i="4"/>
  <c r="Q59" i="4"/>
  <c r="H60" i="4"/>
  <c r="I60" i="4"/>
  <c r="J60" i="4"/>
  <c r="K60" i="4"/>
  <c r="L60" i="4"/>
  <c r="M60" i="4"/>
  <c r="N60" i="4"/>
  <c r="O60" i="4"/>
  <c r="P60" i="4"/>
  <c r="Q60" i="4"/>
  <c r="H61" i="4"/>
  <c r="I61" i="4"/>
  <c r="J61" i="4"/>
  <c r="K61" i="4"/>
  <c r="L61" i="4"/>
  <c r="M61" i="4"/>
  <c r="N61" i="4"/>
  <c r="O61" i="4"/>
  <c r="P61" i="4"/>
  <c r="Q61" i="4"/>
  <c r="H62" i="4"/>
  <c r="I62" i="4"/>
  <c r="J62" i="4"/>
  <c r="K62" i="4"/>
  <c r="L62" i="4"/>
  <c r="M62" i="4"/>
  <c r="N62" i="4"/>
  <c r="O62" i="4"/>
  <c r="P62" i="4"/>
  <c r="Q62" i="4"/>
  <c r="H63" i="4"/>
  <c r="I63" i="4"/>
  <c r="J63" i="4"/>
  <c r="K63" i="4"/>
  <c r="L63" i="4"/>
  <c r="M63" i="4"/>
  <c r="N63" i="4"/>
  <c r="O63" i="4"/>
  <c r="P63" i="4"/>
  <c r="Q63" i="4"/>
  <c r="H64" i="4"/>
  <c r="I64" i="4"/>
  <c r="J64" i="4"/>
  <c r="K64" i="4"/>
  <c r="L64" i="4"/>
  <c r="M64" i="4"/>
  <c r="N64" i="4"/>
  <c r="O64" i="4"/>
  <c r="P64" i="4"/>
  <c r="Q64" i="4"/>
  <c r="H65" i="4"/>
  <c r="I65" i="4"/>
  <c r="J65" i="4"/>
  <c r="K65" i="4"/>
  <c r="L65" i="4"/>
  <c r="M65" i="4"/>
  <c r="N65" i="4"/>
  <c r="O65" i="4"/>
  <c r="P65" i="4"/>
  <c r="Q65" i="4"/>
  <c r="H66" i="4"/>
  <c r="I66" i="4"/>
  <c r="J66" i="4"/>
  <c r="K66" i="4"/>
  <c r="L66" i="4"/>
  <c r="M66" i="4"/>
  <c r="N66" i="4"/>
  <c r="O66" i="4"/>
  <c r="P66" i="4"/>
  <c r="Q66" i="4"/>
  <c r="H67" i="4"/>
  <c r="I67" i="4"/>
  <c r="J67" i="4"/>
  <c r="K67" i="4"/>
  <c r="L67" i="4"/>
  <c r="M67" i="4"/>
  <c r="N67" i="4"/>
  <c r="O67" i="4"/>
  <c r="P67" i="4"/>
  <c r="Q67" i="4"/>
  <c r="H68" i="4"/>
  <c r="I68" i="4"/>
  <c r="J68" i="4"/>
  <c r="K68" i="4"/>
  <c r="L68" i="4"/>
  <c r="M68" i="4"/>
  <c r="N68" i="4"/>
  <c r="O68" i="4"/>
  <c r="P68" i="4"/>
  <c r="Q68" i="4"/>
  <c r="H69" i="4"/>
  <c r="I69" i="4"/>
  <c r="J69" i="4"/>
  <c r="K69" i="4"/>
  <c r="L69" i="4"/>
  <c r="M69" i="4"/>
  <c r="N69" i="4"/>
  <c r="O69" i="4"/>
  <c r="P69" i="4"/>
  <c r="Q69" i="4"/>
  <c r="H70" i="4"/>
  <c r="I70" i="4"/>
  <c r="J70" i="4"/>
  <c r="K70" i="4"/>
  <c r="L70" i="4"/>
  <c r="M70" i="4"/>
  <c r="N70" i="4"/>
  <c r="O70" i="4"/>
  <c r="P70" i="4"/>
  <c r="Q70" i="4"/>
  <c r="H71" i="4"/>
  <c r="I71" i="4"/>
  <c r="J71" i="4"/>
  <c r="K71" i="4"/>
  <c r="L71" i="4"/>
  <c r="M71" i="4"/>
  <c r="N71" i="4"/>
  <c r="O71" i="4"/>
  <c r="P71" i="4"/>
  <c r="Q71" i="4"/>
  <c r="H72" i="4"/>
  <c r="I72" i="4"/>
  <c r="J72" i="4"/>
  <c r="K72" i="4"/>
  <c r="L72" i="4"/>
  <c r="M72" i="4"/>
  <c r="N72" i="4"/>
  <c r="O72" i="4"/>
  <c r="P72" i="4"/>
  <c r="Q72" i="4"/>
  <c r="H73" i="4"/>
  <c r="I73" i="4"/>
  <c r="J73" i="4"/>
  <c r="K73" i="4"/>
  <c r="L73" i="4"/>
  <c r="M73" i="4"/>
  <c r="N73" i="4"/>
  <c r="O73" i="4"/>
  <c r="P73" i="4"/>
  <c r="Q73" i="4"/>
  <c r="H74" i="4"/>
  <c r="I74" i="4"/>
  <c r="J74" i="4"/>
  <c r="K74" i="4"/>
  <c r="L74" i="4"/>
  <c r="M74" i="4"/>
  <c r="N74" i="4"/>
  <c r="O74" i="4"/>
  <c r="P74" i="4"/>
  <c r="Q74" i="4"/>
  <c r="H75" i="4"/>
  <c r="I75" i="4"/>
  <c r="J75" i="4"/>
  <c r="K75" i="4"/>
  <c r="L75" i="4"/>
  <c r="M75" i="4"/>
  <c r="N75" i="4"/>
  <c r="O75" i="4"/>
  <c r="P75" i="4"/>
  <c r="Q75" i="4"/>
  <c r="H76" i="4"/>
  <c r="I76" i="4"/>
  <c r="J76" i="4"/>
  <c r="K76" i="4"/>
  <c r="L76" i="4"/>
  <c r="M76" i="4"/>
  <c r="N76" i="4"/>
  <c r="O76" i="4"/>
  <c r="P76" i="4"/>
  <c r="Q76" i="4"/>
  <c r="H77" i="4"/>
  <c r="I77" i="4"/>
  <c r="J77" i="4"/>
  <c r="K77" i="4"/>
  <c r="L77" i="4"/>
  <c r="M77" i="4"/>
  <c r="N77" i="4"/>
  <c r="O77" i="4"/>
  <c r="P77" i="4"/>
  <c r="Q77" i="4"/>
  <c r="H78" i="4"/>
  <c r="I78" i="4"/>
  <c r="J78" i="4"/>
  <c r="K78" i="4"/>
  <c r="L78" i="4"/>
  <c r="M78" i="4"/>
  <c r="N78" i="4"/>
  <c r="O78" i="4"/>
  <c r="P78" i="4"/>
  <c r="Q78" i="4"/>
  <c r="H79" i="4"/>
  <c r="I79" i="4"/>
  <c r="J79" i="4"/>
  <c r="K79" i="4"/>
  <c r="L79" i="4"/>
  <c r="M79" i="4"/>
  <c r="N79" i="4"/>
  <c r="O79" i="4"/>
  <c r="P79" i="4"/>
  <c r="Q79" i="4"/>
  <c r="H80" i="4"/>
  <c r="I80" i="4"/>
  <c r="J80" i="4"/>
  <c r="K80" i="4"/>
  <c r="L80" i="4"/>
  <c r="M80" i="4"/>
  <c r="N80" i="4"/>
  <c r="O80" i="4"/>
  <c r="P80" i="4"/>
  <c r="Q80" i="4"/>
  <c r="H81" i="4"/>
  <c r="I81" i="4"/>
  <c r="J81" i="4"/>
  <c r="K81" i="4"/>
  <c r="L81" i="4"/>
  <c r="M81" i="4"/>
  <c r="N81" i="4"/>
  <c r="O81" i="4"/>
  <c r="P81" i="4"/>
  <c r="Q81" i="4"/>
  <c r="H82" i="4"/>
  <c r="I82" i="4"/>
  <c r="J82" i="4"/>
  <c r="K82" i="4"/>
  <c r="L82" i="4"/>
  <c r="M82" i="4"/>
  <c r="N82" i="4"/>
  <c r="O82" i="4"/>
  <c r="P82" i="4"/>
  <c r="Q82" i="4"/>
  <c r="H83" i="4"/>
  <c r="I83" i="4"/>
  <c r="J83" i="4"/>
  <c r="K83" i="4"/>
  <c r="L83" i="4"/>
  <c r="M83" i="4"/>
  <c r="N83" i="4"/>
  <c r="O83" i="4"/>
  <c r="P83" i="4"/>
  <c r="Q83" i="4"/>
  <c r="H84" i="4"/>
  <c r="I84" i="4"/>
  <c r="J84" i="4"/>
  <c r="K84" i="4"/>
  <c r="L84" i="4"/>
  <c r="M84" i="4"/>
  <c r="N84" i="4"/>
  <c r="O84" i="4"/>
  <c r="P84" i="4"/>
  <c r="Q84" i="4"/>
  <c r="H85" i="4"/>
  <c r="I85" i="4"/>
  <c r="J85" i="4"/>
  <c r="K85" i="4"/>
  <c r="L85" i="4"/>
  <c r="M85" i="4"/>
  <c r="N85" i="4"/>
  <c r="O85" i="4"/>
  <c r="P85" i="4"/>
  <c r="Q85" i="4"/>
  <c r="H86" i="4"/>
  <c r="I86" i="4"/>
  <c r="J86" i="4"/>
  <c r="K86" i="4"/>
  <c r="L86" i="4"/>
  <c r="M86" i="4"/>
  <c r="N86" i="4"/>
  <c r="O86" i="4"/>
  <c r="P86" i="4"/>
  <c r="Q86" i="4"/>
  <c r="H87" i="4"/>
  <c r="I87" i="4"/>
  <c r="J87" i="4"/>
  <c r="K87" i="4"/>
  <c r="L87" i="4"/>
  <c r="M87" i="4"/>
  <c r="N87" i="4"/>
  <c r="O87" i="4"/>
  <c r="P87" i="4"/>
  <c r="Q87" i="4"/>
  <c r="H88" i="4"/>
  <c r="I88" i="4"/>
  <c r="J88" i="4"/>
  <c r="K88" i="4"/>
  <c r="L88" i="4"/>
  <c r="M88" i="4"/>
  <c r="N88" i="4"/>
  <c r="O88" i="4"/>
  <c r="P88" i="4"/>
  <c r="Q88" i="4"/>
  <c r="H89" i="4"/>
  <c r="I89" i="4"/>
  <c r="J89" i="4"/>
  <c r="K89" i="4"/>
  <c r="L89" i="4"/>
  <c r="M89" i="4"/>
  <c r="N89" i="4"/>
  <c r="O89" i="4"/>
  <c r="P89" i="4"/>
  <c r="Q89" i="4"/>
  <c r="H90" i="4"/>
  <c r="I90" i="4"/>
  <c r="J90" i="4"/>
  <c r="K90" i="4"/>
  <c r="L90" i="4"/>
  <c r="M90" i="4"/>
  <c r="N90" i="4"/>
  <c r="O90" i="4"/>
  <c r="P90" i="4"/>
  <c r="Q90" i="4"/>
  <c r="H91" i="4"/>
  <c r="I91" i="4"/>
  <c r="J91" i="4"/>
  <c r="K91" i="4"/>
  <c r="L91" i="4"/>
  <c r="M91" i="4"/>
  <c r="N91" i="4"/>
  <c r="O91" i="4"/>
  <c r="P91" i="4"/>
  <c r="Q91" i="4"/>
  <c r="H92" i="4"/>
  <c r="I92" i="4"/>
  <c r="J92" i="4"/>
  <c r="K92" i="4"/>
  <c r="L92" i="4"/>
  <c r="M92" i="4"/>
  <c r="N92" i="4"/>
  <c r="O92" i="4"/>
  <c r="P92" i="4"/>
  <c r="Q92" i="4"/>
  <c r="H93" i="4"/>
  <c r="I93" i="4"/>
  <c r="J93" i="4"/>
  <c r="K93" i="4"/>
  <c r="L93" i="4"/>
  <c r="M93" i="4"/>
  <c r="N93" i="4"/>
  <c r="O93" i="4"/>
  <c r="P93" i="4"/>
  <c r="Q93" i="4"/>
  <c r="H94" i="4"/>
  <c r="I94" i="4"/>
  <c r="J94" i="4"/>
  <c r="K94" i="4"/>
  <c r="L94" i="4"/>
  <c r="M94" i="4"/>
  <c r="N94" i="4"/>
  <c r="O94" i="4"/>
  <c r="P94" i="4"/>
  <c r="Q94" i="4"/>
  <c r="H95" i="4"/>
  <c r="I95" i="4"/>
  <c r="J95" i="4"/>
  <c r="K95" i="4"/>
  <c r="L95" i="4"/>
  <c r="M95" i="4"/>
  <c r="N95" i="4"/>
  <c r="O95" i="4"/>
  <c r="P95" i="4"/>
  <c r="Q95" i="4"/>
  <c r="H96" i="4"/>
  <c r="I96" i="4"/>
  <c r="J96" i="4"/>
  <c r="K96" i="4"/>
  <c r="L96" i="4"/>
  <c r="M96" i="4"/>
  <c r="N96" i="4"/>
  <c r="O96" i="4"/>
  <c r="P96" i="4"/>
  <c r="Q96" i="4"/>
  <c r="H97" i="4"/>
  <c r="I97" i="4"/>
  <c r="J97" i="4"/>
  <c r="K97" i="4"/>
  <c r="L97" i="4"/>
  <c r="M97" i="4"/>
  <c r="N97" i="4"/>
  <c r="O97" i="4"/>
  <c r="P97" i="4"/>
  <c r="Q97" i="4"/>
  <c r="H98" i="4"/>
  <c r="I98" i="4"/>
  <c r="J98" i="4"/>
  <c r="K98" i="4"/>
  <c r="L98" i="4"/>
  <c r="M98" i="4"/>
  <c r="N98" i="4"/>
  <c r="O98" i="4"/>
  <c r="P98" i="4"/>
  <c r="Q98" i="4"/>
  <c r="H99" i="4"/>
  <c r="I99" i="4"/>
  <c r="J99" i="4"/>
  <c r="K99" i="4"/>
  <c r="L99" i="4"/>
  <c r="M99" i="4"/>
  <c r="N99" i="4"/>
  <c r="O99" i="4"/>
  <c r="P99" i="4"/>
  <c r="Q99" i="4"/>
  <c r="H100" i="4"/>
  <c r="I100" i="4"/>
  <c r="J100" i="4"/>
  <c r="K100" i="4"/>
  <c r="L100" i="4"/>
  <c r="M100" i="4"/>
  <c r="N100" i="4"/>
  <c r="O100" i="4"/>
  <c r="P100" i="4"/>
  <c r="Q100" i="4"/>
  <c r="H101" i="4"/>
  <c r="I101" i="4"/>
  <c r="J101" i="4"/>
  <c r="K101" i="4"/>
  <c r="L101" i="4"/>
  <c r="M101" i="4"/>
  <c r="N101" i="4"/>
  <c r="O101" i="4"/>
  <c r="P101" i="4"/>
  <c r="Q101" i="4"/>
  <c r="H102" i="4"/>
  <c r="I102" i="4"/>
  <c r="J102" i="4"/>
  <c r="K102" i="4"/>
  <c r="L102" i="4"/>
  <c r="M102" i="4"/>
  <c r="N102" i="4"/>
  <c r="O102" i="4"/>
  <c r="P102" i="4"/>
  <c r="Q102" i="4"/>
  <c r="H103" i="4"/>
  <c r="I103" i="4"/>
  <c r="J103" i="4"/>
  <c r="K103" i="4"/>
  <c r="L103" i="4"/>
  <c r="M103" i="4"/>
  <c r="N103" i="4"/>
  <c r="O103" i="4"/>
  <c r="P103" i="4"/>
  <c r="Q103" i="4"/>
  <c r="H104" i="4"/>
  <c r="I104" i="4"/>
  <c r="J104" i="4"/>
  <c r="K104" i="4"/>
  <c r="L104" i="4"/>
  <c r="M104" i="4"/>
  <c r="N104" i="4"/>
  <c r="O104" i="4"/>
  <c r="P104" i="4"/>
  <c r="Q104" i="4"/>
  <c r="H105" i="4"/>
  <c r="I105" i="4"/>
  <c r="J105" i="4"/>
  <c r="K105" i="4"/>
  <c r="L105" i="4"/>
  <c r="M105" i="4"/>
  <c r="N105" i="4"/>
  <c r="O105" i="4"/>
  <c r="P105" i="4"/>
  <c r="Q105" i="4"/>
  <c r="H106" i="4"/>
  <c r="I106" i="4"/>
  <c r="J106" i="4"/>
  <c r="K106" i="4"/>
  <c r="L106" i="4"/>
  <c r="M106" i="4"/>
  <c r="N106" i="4"/>
  <c r="O106" i="4"/>
  <c r="P106" i="4"/>
  <c r="Q106" i="4"/>
  <c r="H107" i="4"/>
  <c r="I107" i="4"/>
  <c r="J107" i="4"/>
  <c r="K107" i="4"/>
  <c r="L107" i="4"/>
  <c r="M107" i="4"/>
  <c r="N107" i="4"/>
  <c r="O107" i="4"/>
  <c r="P107" i="4"/>
  <c r="Q107" i="4"/>
  <c r="H108" i="4"/>
  <c r="I108" i="4"/>
  <c r="J108" i="4"/>
  <c r="K108" i="4"/>
  <c r="L108" i="4"/>
  <c r="M108" i="4"/>
  <c r="N108" i="4"/>
  <c r="O108" i="4"/>
  <c r="P108" i="4"/>
  <c r="Q108" i="4"/>
  <c r="H109" i="4"/>
  <c r="I109" i="4"/>
  <c r="J109" i="4"/>
  <c r="K109" i="4"/>
  <c r="L109" i="4"/>
  <c r="M109" i="4"/>
  <c r="N109" i="4"/>
  <c r="O109" i="4"/>
  <c r="P109" i="4"/>
  <c r="Q109" i="4"/>
  <c r="I10" i="4"/>
  <c r="J10" i="4"/>
  <c r="K10" i="4"/>
  <c r="L10" i="4"/>
  <c r="M10" i="4"/>
  <c r="N10" i="4"/>
  <c r="O10" i="4"/>
  <c r="P10" i="4"/>
  <c r="Q10" i="4"/>
  <c r="H10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  <c r="M14" i="7" l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M103" i="7" s="1"/>
  <c r="M104" i="7" s="1"/>
  <c r="M105" i="7" s="1"/>
  <c r="M106" i="7" s="1"/>
  <c r="M107" i="7" s="1"/>
  <c r="M108" i="7" s="1"/>
  <c r="M109" i="7" s="1"/>
  <c r="T3" i="7" a="1"/>
  <c r="Q3" i="7" a="1"/>
  <c r="K14" i="7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K86" i="7" s="1"/>
  <c r="K87" i="7" s="1"/>
  <c r="K88" i="7" s="1"/>
  <c r="K89" i="7" s="1"/>
  <c r="K90" i="7" s="1"/>
  <c r="K91" i="7" s="1"/>
  <c r="K92" i="7" s="1"/>
  <c r="K93" i="7" s="1"/>
  <c r="K94" i="7" s="1"/>
  <c r="K95" i="7" s="1"/>
  <c r="K96" i="7" s="1"/>
  <c r="K97" i="7" s="1"/>
  <c r="K98" i="7" s="1"/>
  <c r="K99" i="7" s="1"/>
  <c r="K100" i="7" s="1"/>
  <c r="K101" i="7" s="1"/>
  <c r="K102" i="7" s="1"/>
  <c r="K103" i="7" s="1"/>
  <c r="K104" i="7" s="1"/>
  <c r="K105" i="7" s="1"/>
  <c r="K106" i="7" s="1"/>
  <c r="K107" i="7" s="1"/>
  <c r="K108" i="7" s="1"/>
  <c r="K109" i="7" s="1"/>
  <c r="J14" i="7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J84" i="7" s="1"/>
  <c r="J85" i="7" s="1"/>
  <c r="J86" i="7" s="1"/>
  <c r="J87" i="7" s="1"/>
  <c r="J88" i="7" s="1"/>
  <c r="J89" i="7" s="1"/>
  <c r="J90" i="7" s="1"/>
  <c r="J91" i="7" s="1"/>
  <c r="J92" i="7" s="1"/>
  <c r="J93" i="7" s="1"/>
  <c r="J94" i="7" s="1"/>
  <c r="J95" i="7" s="1"/>
  <c r="J96" i="7" s="1"/>
  <c r="J97" i="7" s="1"/>
  <c r="J98" i="7" s="1"/>
  <c r="J99" i="7" s="1"/>
  <c r="J100" i="7" s="1"/>
  <c r="J101" i="7" s="1"/>
  <c r="J102" i="7" s="1"/>
  <c r="J103" i="7" s="1"/>
  <c r="J104" i="7" s="1"/>
  <c r="J105" i="7" s="1"/>
  <c r="J106" i="7" s="1"/>
  <c r="J107" i="7" s="1"/>
  <c r="J108" i="7" s="1"/>
  <c r="J109" i="7" s="1"/>
  <c r="H14" i="7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P13" i="7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P37" i="7" s="1"/>
  <c r="P38" i="7" s="1"/>
  <c r="P39" i="7" s="1"/>
  <c r="P40" i="7" s="1"/>
  <c r="P41" i="7" s="1"/>
  <c r="P42" i="7" s="1"/>
  <c r="P43" i="7" s="1"/>
  <c r="P44" i="7" s="1"/>
  <c r="P45" i="7" s="1"/>
  <c r="P46" i="7" s="1"/>
  <c r="P47" i="7" s="1"/>
  <c r="P48" i="7" s="1"/>
  <c r="P49" i="7" s="1"/>
  <c r="P50" i="7" s="1"/>
  <c r="P51" i="7" s="1"/>
  <c r="P52" i="7" s="1"/>
  <c r="P53" i="7" s="1"/>
  <c r="P54" i="7" s="1"/>
  <c r="P55" i="7" s="1"/>
  <c r="P56" i="7" s="1"/>
  <c r="P57" i="7" s="1"/>
  <c r="P58" i="7" s="1"/>
  <c r="P59" i="7" s="1"/>
  <c r="P60" i="7" s="1"/>
  <c r="P61" i="7" s="1"/>
  <c r="P62" i="7" s="1"/>
  <c r="P63" i="7" s="1"/>
  <c r="P64" i="7" s="1"/>
  <c r="P65" i="7" s="1"/>
  <c r="P66" i="7" s="1"/>
  <c r="P67" i="7" s="1"/>
  <c r="P68" i="7" s="1"/>
  <c r="P69" i="7" s="1"/>
  <c r="P70" i="7" s="1"/>
  <c r="P71" i="7" s="1"/>
  <c r="P72" i="7" s="1"/>
  <c r="P73" i="7" s="1"/>
  <c r="P74" i="7" s="1"/>
  <c r="P75" i="7" s="1"/>
  <c r="P76" i="7" s="1"/>
  <c r="P77" i="7" s="1"/>
  <c r="P78" i="7" s="1"/>
  <c r="P79" i="7" s="1"/>
  <c r="P80" i="7" s="1"/>
  <c r="P81" i="7" s="1"/>
  <c r="P82" i="7" s="1"/>
  <c r="P83" i="7" s="1"/>
  <c r="P84" i="7" s="1"/>
  <c r="P85" i="7" s="1"/>
  <c r="P86" i="7" s="1"/>
  <c r="P87" i="7" s="1"/>
  <c r="P88" i="7" s="1"/>
  <c r="P89" i="7" s="1"/>
  <c r="P90" i="7" s="1"/>
  <c r="P91" i="7" s="1"/>
  <c r="P92" i="7" s="1"/>
  <c r="P93" i="7" s="1"/>
  <c r="P94" i="7" s="1"/>
  <c r="P95" i="7" s="1"/>
  <c r="P96" i="7" s="1"/>
  <c r="P97" i="7" s="1"/>
  <c r="P98" i="7" s="1"/>
  <c r="P99" i="7" s="1"/>
  <c r="P100" i="7" s="1"/>
  <c r="P101" i="7" s="1"/>
  <c r="P102" i="7" s="1"/>
  <c r="P103" i="7" s="1"/>
  <c r="P104" i="7" s="1"/>
  <c r="P105" i="7" s="1"/>
  <c r="P106" i="7" s="1"/>
  <c r="P107" i="7" s="1"/>
  <c r="P108" i="7" s="1"/>
  <c r="P109" i="7" s="1"/>
  <c r="W3" i="7" a="1"/>
  <c r="W8" i="7" s="1"/>
  <c r="Z3" i="7" a="1"/>
  <c r="Z3" i="7" s="1"/>
  <c r="H3" i="7" a="1"/>
  <c r="H3" i="7" s="1"/>
  <c r="AF3" i="7" a="1"/>
  <c r="AG8" i="7" s="1"/>
  <c r="U8" i="7"/>
  <c r="T8" i="7"/>
  <c r="T3" i="7"/>
  <c r="Q3" i="7"/>
  <c r="R8" i="7"/>
  <c r="Q8" i="7"/>
  <c r="N3" i="6" a="1"/>
  <c r="O8" i="6" s="1"/>
  <c r="Z3" i="6" a="1"/>
  <c r="AA8" i="6" s="1"/>
  <c r="AF3" i="6" a="1"/>
  <c r="AG8" i="6" s="1"/>
  <c r="I8" i="6"/>
  <c r="H8" i="6"/>
  <c r="H3" i="6"/>
  <c r="L8" i="6"/>
  <c r="K8" i="6"/>
  <c r="K3" i="6"/>
  <c r="R8" i="6"/>
  <c r="Q8" i="6"/>
  <c r="Q3" i="6"/>
  <c r="U8" i="6"/>
  <c r="T8" i="6"/>
  <c r="T3" i="6"/>
  <c r="W3" i="6"/>
  <c r="X8" i="6"/>
  <c r="W8" i="6"/>
  <c r="E3" i="6"/>
  <c r="AC3" i="6"/>
  <c r="E8" i="6"/>
  <c r="AC8" i="6"/>
  <c r="Q3" i="5" a="1"/>
  <c r="R8" i="5" s="1"/>
  <c r="AC3" i="5" a="1"/>
  <c r="AC3" i="5" s="1"/>
  <c r="T3" i="5" a="1"/>
  <c r="U8" i="5" s="1"/>
  <c r="Z3" i="5" a="1"/>
  <c r="Z8" i="5" s="1"/>
  <c r="W3" i="5" a="1"/>
  <c r="W3" i="5" s="1"/>
  <c r="AF3" i="5" a="1"/>
  <c r="AG8" i="5" s="1"/>
  <c r="N3" i="5" a="1"/>
  <c r="N3" i="5" s="1"/>
  <c r="E3" i="5" a="1"/>
  <c r="E3" i="5" s="1"/>
  <c r="K3" i="5" a="1"/>
  <c r="K3" i="5" s="1"/>
  <c r="H3" i="5" a="1"/>
  <c r="I8" i="5" s="1"/>
  <c r="T3" i="4"/>
  <c r="Q8" i="4"/>
  <c r="R8" i="4"/>
  <c r="W3" i="4"/>
  <c r="T8" i="4"/>
  <c r="Z3" i="4"/>
  <c r="W8" i="4"/>
  <c r="AC3" i="4"/>
  <c r="H3" i="4"/>
  <c r="AF3" i="4"/>
  <c r="AC8" i="4"/>
  <c r="H8" i="4"/>
  <c r="AF8" i="4"/>
  <c r="Z8" i="4"/>
  <c r="N3" i="3" a="1"/>
  <c r="N3" i="3" s="1"/>
  <c r="X8" i="7" l="1"/>
  <c r="W3" i="7"/>
  <c r="E3" i="7" a="1"/>
  <c r="I8" i="7"/>
  <c r="AC3" i="7" a="1"/>
  <c r="Z8" i="7"/>
  <c r="AA8" i="7"/>
  <c r="K3" i="7" a="1"/>
  <c r="N3" i="7" a="1"/>
  <c r="H8" i="7"/>
  <c r="AF3" i="7"/>
  <c r="AF8" i="7"/>
  <c r="N8" i="6"/>
  <c r="Z3" i="6"/>
  <c r="N3" i="6"/>
  <c r="Z8" i="6"/>
  <c r="AF3" i="6"/>
  <c r="AF8" i="6"/>
  <c r="AD8" i="5"/>
  <c r="AC8" i="5"/>
  <c r="Q8" i="5"/>
  <c r="Q3" i="5"/>
  <c r="T8" i="5"/>
  <c r="T3" i="5"/>
  <c r="X8" i="5"/>
  <c r="W8" i="5"/>
  <c r="E8" i="5"/>
  <c r="H8" i="5"/>
  <c r="H3" i="5"/>
  <c r="N8" i="5"/>
  <c r="F8" i="5"/>
  <c r="O8" i="5"/>
  <c r="AF3" i="5"/>
  <c r="AA8" i="5"/>
  <c r="K8" i="5"/>
  <c r="AF8" i="5"/>
  <c r="L8" i="5"/>
  <c r="Z3" i="5"/>
  <c r="AC3" i="7" l="1"/>
  <c r="AC8" i="7"/>
  <c r="AD8" i="7"/>
  <c r="L8" i="7"/>
  <c r="K8" i="7"/>
  <c r="K3" i="7"/>
  <c r="N8" i="7"/>
  <c r="O8" i="7"/>
  <c r="N3" i="7"/>
  <c r="E3" i="7"/>
  <c r="E8" i="7"/>
  <c r="F8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<sst xmlns="http://schemas.openxmlformats.org/spreadsheetml/2006/main" count="1962" uniqueCount="232">
  <si>
    <t>Эксперимент</t>
  </si>
  <si>
    <t>Спецификация</t>
  </si>
  <si>
    <t>а0=</t>
  </si>
  <si>
    <t>а1=</t>
  </si>
  <si>
    <t>сигма=</t>
  </si>
  <si>
    <t>=</t>
  </si>
  <si>
    <t>Примечание:</t>
  </si>
  <si>
    <t>Расчеты для каждого пункта выполнить на отдельном листе.</t>
  </si>
  <si>
    <t>при i=1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</si>
  <si>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</si>
  <si>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</si>
  <si>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</si>
  <si>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</si>
  <si>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</si>
  <si>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</si>
  <si>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</si>
  <si>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</si>
  <si>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</si>
  <si>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</si>
  <si>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</si>
  <si>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</si>
  <si>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</si>
  <si>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</si>
  <si>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</si>
  <si>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</si>
  <si>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</si>
  <si>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</si>
  <si>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</si>
  <si>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</si>
  <si>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</si>
  <si>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</si>
  <si>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</si>
  <si>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</si>
  <si>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</si>
  <si>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</si>
  <si>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</si>
  <si>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</si>
  <si>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</si>
  <si>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</si>
  <si>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</si>
  <si>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</si>
  <si>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</si>
  <si>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</si>
  <si>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</si>
  <si>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</si>
  <si>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</si>
  <si>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</si>
  <si>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</si>
  <si>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</si>
  <si>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</si>
  <si>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</si>
  <si>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</si>
  <si>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</si>
  <si>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</si>
  <si>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</si>
  <si>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</si>
  <si>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</si>
  <si>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</si>
  <si>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</si>
  <si>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</si>
  <si>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</si>
  <si>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</si>
  <si>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</si>
  <si>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</si>
  <si>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</si>
  <si>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</si>
  <si>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</si>
  <si>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</si>
  <si>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</si>
  <si>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</si>
  <si>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</si>
  <si>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</si>
  <si>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</si>
  <si>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</si>
  <si>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</si>
  <si>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</si>
  <si>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</si>
  <si>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</si>
  <si>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</si>
  <si>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</si>
  <si>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</si>
  <si>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</si>
  <si>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</si>
  <si>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</si>
  <si>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</si>
  <si>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</si>
  <si>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</si>
  <si>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</si>
  <si>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</si>
  <si>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</si>
  <si>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</si>
  <si>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</si>
  <si>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</si>
  <si>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</si>
  <si>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</si>
  <si>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</si>
  <si>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</si>
  <si>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</si>
  <si>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</si>
  <si>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</si>
  <si>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</si>
  <si>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</si>
  <si>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</si>
  <si>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</si>
  <si>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</si>
  <si>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</si>
  <si>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</si>
  <si>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</si>
  <si>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</si>
  <si>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u 1</t>
  </si>
  <si>
    <t>u 2</t>
  </si>
  <si>
    <t>u 3</t>
  </si>
  <si>
    <t>u 4</t>
  </si>
  <si>
    <t>u 5</t>
  </si>
  <si>
    <t>u 6</t>
  </si>
  <si>
    <t>u 7</t>
  </si>
  <si>
    <t>u 8</t>
  </si>
  <si>
    <t>u 9</t>
  </si>
  <si>
    <t>u 10</t>
  </si>
  <si>
    <t>u 11</t>
  </si>
  <si>
    <t>u 12</t>
  </si>
  <si>
    <t>u 13</t>
  </si>
  <si>
    <t>u 14</t>
  </si>
  <si>
    <t>u 15</t>
  </si>
  <si>
    <t>u 16</t>
  </si>
  <si>
    <t>u 17</t>
  </si>
  <si>
    <t>u 18</t>
  </si>
  <si>
    <t>u 19</t>
  </si>
  <si>
    <t>u 20</t>
  </si>
  <si>
    <t>u 21</t>
  </si>
  <si>
    <t>u 22</t>
  </si>
  <si>
    <t>u 23</t>
  </si>
  <si>
    <t>u 24</t>
  </si>
  <si>
    <t>u 25</t>
  </si>
  <si>
    <t>u 26</t>
  </si>
  <si>
    <t>u 27</t>
  </si>
  <si>
    <t>u 28</t>
  </si>
  <si>
    <t>u 29</t>
  </si>
  <si>
    <t>u 30</t>
  </si>
  <si>
    <t>u 31</t>
  </si>
  <si>
    <t>u 32</t>
  </si>
  <si>
    <t>u 33</t>
  </si>
  <si>
    <t>u 34</t>
  </si>
  <si>
    <t>u 35</t>
  </si>
  <si>
    <t>u 36</t>
  </si>
  <si>
    <t>u 37</t>
  </si>
  <si>
    <t>u 38</t>
  </si>
  <si>
    <t>u 39</t>
  </si>
  <si>
    <t>u 40</t>
  </si>
  <si>
    <t>u 41</t>
  </si>
  <si>
    <t>u 42</t>
  </si>
  <si>
    <t>u 43</t>
  </si>
  <si>
    <t>u 44</t>
  </si>
  <si>
    <t>u 45</t>
  </si>
  <si>
    <t>u 46</t>
  </si>
  <si>
    <t>u 47</t>
  </si>
  <si>
    <t>u 48</t>
  </si>
  <si>
    <t>u 49</t>
  </si>
  <si>
    <t>u 50</t>
  </si>
  <si>
    <t>u 51</t>
  </si>
  <si>
    <t>u 52</t>
  </si>
  <si>
    <t>u 53</t>
  </si>
  <si>
    <t>u 54</t>
  </si>
  <si>
    <t>u 55</t>
  </si>
  <si>
    <t>u 56</t>
  </si>
  <si>
    <t>u 57</t>
  </si>
  <si>
    <t>u 58</t>
  </si>
  <si>
    <t>u 59</t>
  </si>
  <si>
    <t>u 60</t>
  </si>
  <si>
    <t>u 61</t>
  </si>
  <si>
    <t>u 62</t>
  </si>
  <si>
    <t>u 63</t>
  </si>
  <si>
    <t>u 64</t>
  </si>
  <si>
    <t>u 65</t>
  </si>
  <si>
    <t>u 66</t>
  </si>
  <si>
    <t>u 67</t>
  </si>
  <si>
    <t>u 68</t>
  </si>
  <si>
    <t>u 69</t>
  </si>
  <si>
    <t>u 70</t>
  </si>
  <si>
    <t>u 71</t>
  </si>
  <si>
    <t>u 72</t>
  </si>
  <si>
    <t>u 73</t>
  </si>
  <si>
    <t>u 74</t>
  </si>
  <si>
    <t>u 75</t>
  </si>
  <si>
    <t>u 76</t>
  </si>
  <si>
    <t>u 77</t>
  </si>
  <si>
    <t>u 78</t>
  </si>
  <si>
    <t>u 79</t>
  </si>
  <si>
    <t>u 80</t>
  </si>
  <si>
    <t>u 81</t>
  </si>
  <si>
    <t>u 82</t>
  </si>
  <si>
    <t>u 83</t>
  </si>
  <si>
    <t>u 84</t>
  </si>
  <si>
    <t>u 85</t>
  </si>
  <si>
    <t>u 86</t>
  </si>
  <si>
    <t>u 87</t>
  </si>
  <si>
    <t>u 88</t>
  </si>
  <si>
    <t>u 89</t>
  </si>
  <si>
    <t>u 90</t>
  </si>
  <si>
    <t>u 91</t>
  </si>
  <si>
    <t>u 92</t>
  </si>
  <si>
    <t>u 93</t>
  </si>
  <si>
    <t>u 94</t>
  </si>
  <si>
    <t>u 95</t>
  </si>
  <si>
    <t>u 96</t>
  </si>
  <si>
    <t>u 97</t>
  </si>
  <si>
    <t>u 98</t>
  </si>
  <si>
    <t>u 99</t>
  </si>
  <si>
    <t>u 100</t>
  </si>
  <si>
    <t>Ui = ui * сигма</t>
  </si>
  <si>
    <t>Ui = ui * сигма + m</t>
  </si>
  <si>
    <t>Ui = ui * сигма * i</t>
  </si>
  <si>
    <r>
      <rPr>
        <b/>
        <sz val="11"/>
        <color theme="1"/>
        <rFont val="Calibri"/>
        <family val="2"/>
        <charset val="204"/>
        <scheme val="minor"/>
      </rPr>
      <t xml:space="preserve">Ui  </t>
    </r>
    <r>
      <rPr>
        <sz val="11"/>
        <color theme="1"/>
        <rFont val="Calibri"/>
        <family val="2"/>
        <charset val="204"/>
        <scheme val="minor"/>
      </rPr>
      <t xml:space="preserve">= </t>
    </r>
    <r>
      <rPr>
        <b/>
        <sz val="11"/>
        <color theme="1"/>
        <rFont val="Calibri"/>
        <family val="2"/>
        <charset val="204"/>
        <scheme val="minor"/>
      </rPr>
      <t>ui</t>
    </r>
    <r>
      <rPr>
        <sz val="11"/>
        <color theme="1"/>
        <rFont val="Calibri"/>
        <family val="2"/>
        <charset val="204"/>
        <scheme val="minor"/>
      </rPr>
      <t xml:space="preserve"> * </t>
    </r>
    <r>
      <rPr>
        <b/>
        <sz val="11"/>
        <color theme="1"/>
        <rFont val="Calibri"/>
        <family val="2"/>
        <charset val="204"/>
        <scheme val="minor"/>
      </rPr>
      <t>сигма</t>
    </r>
  </si>
  <si>
    <r>
      <rPr>
        <b/>
        <sz val="11"/>
        <color theme="1"/>
        <rFont val="Calibri"/>
        <family val="2"/>
        <charset val="204"/>
        <scheme val="minor"/>
      </rPr>
      <t xml:space="preserve">Ui </t>
    </r>
    <r>
      <rPr>
        <sz val="11"/>
        <color theme="1"/>
        <rFont val="Calibri"/>
        <family val="2"/>
        <charset val="204"/>
        <scheme val="minor"/>
      </rPr>
      <t xml:space="preserve">= </t>
    </r>
    <r>
      <rPr>
        <b/>
        <sz val="11"/>
        <color theme="1"/>
        <rFont val="Calibri"/>
        <family val="2"/>
        <charset val="204"/>
        <scheme val="minor"/>
      </rPr>
      <t xml:space="preserve">d </t>
    </r>
    <r>
      <rPr>
        <sz val="11"/>
        <color theme="1"/>
        <rFont val="Calibri"/>
        <family val="2"/>
        <charset val="204"/>
        <scheme val="minor"/>
      </rPr>
      <t xml:space="preserve">* </t>
    </r>
    <r>
      <rPr>
        <b/>
        <sz val="11"/>
        <color theme="1"/>
        <rFont val="Calibri"/>
        <family val="2"/>
        <charset val="204"/>
        <scheme val="minor"/>
      </rPr>
      <t xml:space="preserve">Ui-1 </t>
    </r>
    <r>
      <rPr>
        <sz val="11"/>
        <color theme="1"/>
        <rFont val="Calibri"/>
        <family val="2"/>
        <charset val="204"/>
        <scheme val="minor"/>
      </rPr>
      <t xml:space="preserve">+ </t>
    </r>
    <r>
      <rPr>
        <b/>
        <sz val="11"/>
        <color theme="1"/>
        <rFont val="Calibri"/>
        <family val="2"/>
        <charset val="204"/>
        <scheme val="minor"/>
      </rPr>
      <t>c</t>
    </r>
    <r>
      <rPr>
        <sz val="11"/>
        <color theme="1"/>
        <rFont val="Calibri"/>
        <family val="2"/>
        <charset val="204"/>
        <scheme val="minor"/>
      </rPr>
      <t xml:space="preserve"> * </t>
    </r>
    <r>
      <rPr>
        <b/>
        <sz val="11"/>
        <color theme="1"/>
        <rFont val="Calibri"/>
        <family val="2"/>
        <charset val="204"/>
        <scheme val="minor"/>
      </rPr>
      <t>ui</t>
    </r>
  </si>
  <si>
    <t>при i=2, 3, …</t>
  </si>
  <si>
    <t>Xi(j) = Xi + ui(j)</t>
  </si>
  <si>
    <t>Y1</t>
  </si>
  <si>
    <t>Y=а0+а1*X</t>
  </si>
  <si>
    <t>а. Выполнение всех предпосылок теоремы Гаусса-Маркова</t>
  </si>
  <si>
    <t>б. Нарушение предпосылки о нулевом математическом ожидании остатков</t>
  </si>
  <si>
    <t>в. Нарушение предпосылки о гомоскедастичности остатков</t>
  </si>
  <si>
    <t>г. Нарушение предпосылки о некоррелированности остатков</t>
  </si>
  <si>
    <t>д. Нарушение предпосылки о некоррелированности значений экзогенной переменной и остатков</t>
  </si>
  <si>
    <t>1. Записать на основе функциональной зависимости спецификацию корреляционной зависимости с требуемыми характеристиками</t>
  </si>
  <si>
    <t>В каждом случае провести 10 экспериментов.</t>
  </si>
  <si>
    <t>3. Проанализровать результаты оценивания параметров модели и написать вывод</t>
  </si>
  <si>
    <t>Провести расчеты  для каждого из случаев:</t>
  </si>
  <si>
    <t xml:space="preserve">2. Имитировать  данные для оценивания методом статистических испытаний Монте-Карло и на их основе оценить параметры модели </t>
  </si>
  <si>
    <t>m=</t>
  </si>
  <si>
    <t>i=</t>
  </si>
  <si>
    <t>Оценки не состоятельны!!!!</t>
  </si>
  <si>
    <t>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</si>
</sst>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/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workbookViewId="0">
      <selection activeCell="T10" sqref="T10"/>
    </sheetView>
  </sheetViews>
  <sheetFormatPr defaultColWidth="9.1796875" defaultRowHeight="14.5" x14ac:dyDescent="0.35"/>
  <cols>
    <col min="1" max="1" width="13" style="6" customWidth="1"/>
    <col min="2" max="2" width="14" style="6" customWidth="1"/>
    <col min="3" max="3" width="14.1796875" style="6" customWidth="1"/>
    <col min="4" max="4" width="14.81640625" style="6" customWidth="1"/>
    <col min="5" max="5" width="14.26953125" style="6" customWidth="1"/>
    <col min="6" max="7" width="13.81640625" style="6" customWidth="1"/>
    <col min="8" max="8" width="13.26953125" style="6" customWidth="1"/>
    <col min="9" max="9" width="11.54296875" style="6" customWidth="1"/>
    <col min="10" max="10" width="13.81640625" style="6" customWidth="1"/>
    <col min="11" max="11" width="13.1796875" style="6" customWidth="1"/>
    <col min="12" max="16384" width="9.1796875" style="7"/>
  </cols>
  <sheetData>
    <row r="1" spans="1:11" s="9" customFormat="1" x14ac:dyDescent="0.35">
      <c r="A1" s="8" t="s">
        <v>0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</row>
    <row r="2" spans="1:11" s="9" customFormat="1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35">
      <c r="A3" s="6" t="s">
        <v>109</v>
      </c>
      <c r="B3" s="6">
        <v>-2.8117028705310076E-2</v>
      </c>
      <c r="C3" s="7">
        <v>-1.7017146092257462</v>
      </c>
      <c r="D3" s="7">
        <v>-0.54151541917235591</v>
      </c>
      <c r="E3" s="7">
        <v>0.39923747863213066</v>
      </c>
      <c r="F3" s="7">
        <v>-0.94007952813990003</v>
      </c>
      <c r="G3" s="7">
        <v>0.38157054405019153</v>
      </c>
      <c r="H3" s="7">
        <v>0.88259866970474832</v>
      </c>
      <c r="I3" s="7">
        <v>-2.1222695067990571</v>
      </c>
      <c r="J3" s="7">
        <v>0.81152165876119398</v>
      </c>
      <c r="K3" s="7">
        <v>-0.94664073913008906</v>
      </c>
    </row>
    <row r="4" spans="1:11" x14ac:dyDescent="0.35">
      <c r="A4" s="6" t="s">
        <v>110</v>
      </c>
      <c r="B4" s="6">
        <v>-0.13377302821027115</v>
      </c>
      <c r="C4" s="7">
        <v>2.0590323401847854</v>
      </c>
      <c r="D4" s="7">
        <v>2.0433617464732379</v>
      </c>
      <c r="E4" s="7">
        <v>1.3031876733293757</v>
      </c>
      <c r="F4" s="7">
        <v>0.78448920248774812</v>
      </c>
      <c r="G4" s="7">
        <v>-0.91560423243208788</v>
      </c>
      <c r="H4" s="7">
        <v>-0.85754288395401002</v>
      </c>
      <c r="I4" s="7">
        <v>0.65159156292793341</v>
      </c>
      <c r="J4" s="7">
        <v>4.6873083192622289E-2</v>
      </c>
      <c r="K4" s="7">
        <v>0.70356463766074695</v>
      </c>
    </row>
    <row r="5" spans="1:11" x14ac:dyDescent="0.35">
      <c r="A5" s="6" t="s">
        <v>111</v>
      </c>
      <c r="B5" s="6">
        <v>-0.63859374677122105</v>
      </c>
      <c r="C5" s="7">
        <v>-0.385275598091539</v>
      </c>
      <c r="D5" s="7">
        <v>0.934733179747127</v>
      </c>
      <c r="E5" s="7">
        <v>2.0791958377230912</v>
      </c>
      <c r="F5" s="7">
        <v>0.37335553315642755</v>
      </c>
      <c r="G5" s="7">
        <v>-5.1544475354603492E-2</v>
      </c>
      <c r="H5" s="7">
        <v>1.29799139156239</v>
      </c>
      <c r="I5" s="7">
        <v>-1.1267820809734985</v>
      </c>
      <c r="J5" s="7">
        <v>-1.0132885108760092</v>
      </c>
      <c r="K5" s="7">
        <v>-0.70180135480768513</v>
      </c>
    </row>
    <row r="6" spans="1:11" x14ac:dyDescent="0.35">
      <c r="A6" s="6" t="s">
        <v>112</v>
      </c>
      <c r="B6" s="6">
        <v>-0.8930373951443471</v>
      </c>
      <c r="C6" s="7">
        <v>2.1438609110191464</v>
      </c>
      <c r="D6" s="7">
        <v>-2.7810074243461713E-2</v>
      </c>
      <c r="E6" s="7">
        <v>-0.30471710488200188</v>
      </c>
      <c r="F6" s="7">
        <v>0.31965555535862222</v>
      </c>
      <c r="G6" s="7">
        <v>0.29152033675927669</v>
      </c>
      <c r="H6" s="7">
        <v>2.2457425075117499</v>
      </c>
      <c r="I6" s="7">
        <v>0.3105719770246651</v>
      </c>
      <c r="J6" s="7">
        <v>6.8787358031840995E-2</v>
      </c>
      <c r="K6" s="7">
        <v>4.4192347559146597E-2</v>
      </c>
    </row>
    <row r="7" spans="1:11" x14ac:dyDescent="0.35">
      <c r="A7" s="6" t="s">
        <v>113</v>
      </c>
      <c r="B7" s="6">
        <v>4.0154191083274782E-3</v>
      </c>
      <c r="C7" s="7">
        <v>6.924778972461354E-2</v>
      </c>
      <c r="D7" s="7">
        <v>0.46304762690851931</v>
      </c>
      <c r="E7" s="7">
        <v>-3.6918663681717589E-2</v>
      </c>
      <c r="F7" s="7">
        <v>0.21292521523719188</v>
      </c>
      <c r="G7" s="7">
        <v>-8.8125489128287882E-2</v>
      </c>
      <c r="H7" s="7">
        <v>-0.26654561224859208</v>
      </c>
      <c r="I7" s="7">
        <v>0.3665559233922977</v>
      </c>
      <c r="J7" s="7">
        <v>4.2481017066159997E-2</v>
      </c>
      <c r="K7" s="7">
        <v>1.5348496162914671</v>
      </c>
    </row>
    <row r="8" spans="1:11" x14ac:dyDescent="0.35">
      <c r="A8" s="6" t="s">
        <v>114</v>
      </c>
      <c r="B8" s="6">
        <v>-0.82779251897591166</v>
      </c>
      <c r="C8" s="7">
        <v>-1.8222135622636415</v>
      </c>
      <c r="D8" s="7">
        <v>0.5788353973912308</v>
      </c>
      <c r="E8" s="7">
        <v>-0.94233882919070311</v>
      </c>
      <c r="F8" s="7">
        <v>0.60233332987991162</v>
      </c>
      <c r="G8" s="7">
        <v>0.19098592929367442</v>
      </c>
      <c r="H8" s="7">
        <v>-0.20940547074133065</v>
      </c>
      <c r="I8" s="7">
        <v>-0.79693336374475621</v>
      </c>
      <c r="J8" s="7">
        <v>-0.84111889009363949</v>
      </c>
      <c r="K8" s="7">
        <v>0.91711854111053981</v>
      </c>
    </row>
    <row r="9" spans="1:11" x14ac:dyDescent="0.35">
      <c r="A9" s="6" t="s">
        <v>115</v>
      </c>
      <c r="B9" s="6">
        <v>1.2953591976838652</v>
      </c>
      <c r="C9" s="7">
        <v>-0.91723450168501586</v>
      </c>
      <c r="D9" s="7">
        <v>0.90196181190549396</v>
      </c>
      <c r="E9" s="7">
        <v>1.1392830856493674</v>
      </c>
      <c r="F9" s="7">
        <v>0.25269969228247646</v>
      </c>
      <c r="G9" s="7">
        <v>-7.2699322117841803E-2</v>
      </c>
      <c r="H9" s="7">
        <v>0.57612396631157026</v>
      </c>
      <c r="I9" s="7">
        <v>0.61587002164742444</v>
      </c>
      <c r="J9" s="7">
        <v>0.74341869549243711</v>
      </c>
      <c r="K9" s="7">
        <v>0.19737854017876089</v>
      </c>
    </row>
    <row r="10" spans="1:11" x14ac:dyDescent="0.35">
      <c r="A10" s="6" t="s">
        <v>116</v>
      </c>
      <c r="B10" s="6">
        <v>0.33288756640104111</v>
      </c>
      <c r="C10" s="7">
        <v>-2.1625055524054915</v>
      </c>
      <c r="D10" s="7">
        <v>-0.72717966759228148</v>
      </c>
      <c r="E10" s="7">
        <v>0.44566036194737535</v>
      </c>
      <c r="F10" s="7">
        <v>2.4519977159798145E-2</v>
      </c>
      <c r="G10" s="7">
        <v>1.8059563444694504</v>
      </c>
      <c r="H10" s="7">
        <v>1.3853036762156989</v>
      </c>
      <c r="I10" s="7">
        <v>0.29112129595887382</v>
      </c>
      <c r="J10" s="7">
        <v>0.83073098014573998</v>
      </c>
      <c r="K10" s="7">
        <v>-1.1263500709901564</v>
      </c>
    </row>
    <row r="11" spans="1:11" x14ac:dyDescent="0.35">
      <c r="A11" s="6" t="s">
        <v>117</v>
      </c>
      <c r="B11" s="6">
        <v>0.69564976001856849</v>
      </c>
      <c r="C11" s="7">
        <v>-0.27535406843526289</v>
      </c>
      <c r="D11" s="7">
        <v>-0.67283394855621736</v>
      </c>
      <c r="E11" s="7">
        <v>4.3962700146948919E-2</v>
      </c>
      <c r="F11" s="7">
        <v>-0.24567611944803</v>
      </c>
      <c r="G11" s="7">
        <v>1.0691951501939911</v>
      </c>
      <c r="H11" s="7">
        <v>1.3251383279566653</v>
      </c>
      <c r="I11" s="7">
        <v>0.79756546256248839</v>
      </c>
      <c r="J11" s="7">
        <v>1.1324300430715084</v>
      </c>
      <c r="K11" s="7">
        <v>0.34276808946742698</v>
      </c>
    </row>
    <row r="12" spans="1:11" x14ac:dyDescent="0.35">
      <c r="A12" s="6" t="s">
        <v>118</v>
      </c>
      <c r="B12" s="6">
        <v>0.26551560949883424</v>
      </c>
      <c r="C12" s="7">
        <v>-2.1453797671711072</v>
      </c>
      <c r="D12" s="7">
        <v>0.5103288458485622</v>
      </c>
      <c r="E12" s="7">
        <v>1.5016667020972818</v>
      </c>
      <c r="F12" s="7">
        <v>0.57170382206095383</v>
      </c>
      <c r="G12" s="7">
        <v>0.92765276349382475</v>
      </c>
      <c r="H12" s="7">
        <v>2.5883491616696119</v>
      </c>
      <c r="I12" s="7">
        <v>1.1947486200369895</v>
      </c>
      <c r="J12" s="7">
        <v>9.5346877060364932E-2</v>
      </c>
      <c r="K12" s="7">
        <v>-0.29367583920247853</v>
      </c>
    </row>
    <row r="13" spans="1:11" x14ac:dyDescent="0.35">
      <c r="A13" s="6" t="s">
        <v>119</v>
      </c>
      <c r="B13" s="6">
        <v>-0.23551820049760863</v>
      </c>
      <c r="C13" s="7">
        <v>-0.94640199677087367</v>
      </c>
      <c r="D13" s="7">
        <v>-6.4801497501321137E-2</v>
      </c>
      <c r="E13" s="7">
        <v>-0.58345449360786006</v>
      </c>
      <c r="F13" s="7">
        <v>0.5519973456102889</v>
      </c>
      <c r="G13" s="7">
        <v>-0.8523966243956238</v>
      </c>
      <c r="H13" s="7">
        <v>0.21167352315387689</v>
      </c>
      <c r="I13" s="7">
        <v>2.4379551177844405</v>
      </c>
      <c r="J13" s="7">
        <v>-0.41011389839695767</v>
      </c>
      <c r="K13" s="7">
        <v>-0.12536474969238043</v>
      </c>
    </row>
    <row r="14" spans="1:11" x14ac:dyDescent="0.35">
      <c r="A14" s="6" t="s">
        <v>120</v>
      </c>
      <c r="B14" s="6">
        <v>-0.30287310437415726</v>
      </c>
      <c r="C14" s="7">
        <v>-0.67417659010970965</v>
      </c>
      <c r="D14" s="7">
        <v>3.4810909710358828E-3</v>
      </c>
      <c r="E14" s="7">
        <v>0.27043142836191691</v>
      </c>
      <c r="F14" s="7">
        <v>0.51154984248569235</v>
      </c>
      <c r="G14" s="7">
        <v>-1.0406370165583212</v>
      </c>
      <c r="H14" s="7">
        <v>0.45633100853592623</v>
      </c>
      <c r="I14" s="7">
        <v>-0.70268242780002765</v>
      </c>
      <c r="J14" s="7">
        <v>-0.90507001004880294</v>
      </c>
      <c r="K14" s="7">
        <v>-2.9954208002891392E-2</v>
      </c>
    </row>
    <row r="15" spans="1:11" x14ac:dyDescent="0.35">
      <c r="A15" s="6" t="s">
        <v>121</v>
      </c>
      <c r="B15" s="6">
        <v>0.14659690350526944</v>
      </c>
      <c r="C15" s="7">
        <v>1.9512481230776757</v>
      </c>
      <c r="D15" s="7">
        <v>0.5782021617051214</v>
      </c>
      <c r="E15" s="7">
        <v>0.21347318579501007</v>
      </c>
      <c r="F15" s="7">
        <v>-1.6997637430904433</v>
      </c>
      <c r="G15" s="7">
        <v>1.3650196706294082</v>
      </c>
      <c r="H15" s="7">
        <v>-0.37499228003433999</v>
      </c>
      <c r="I15" s="7">
        <v>1.8051741790259257</v>
      </c>
      <c r="J15" s="7">
        <v>-0.1849912223406136</v>
      </c>
      <c r="K15" s="7">
        <v>-0.32513526093680412</v>
      </c>
    </row>
    <row r="16" spans="1:11" x14ac:dyDescent="0.35">
      <c r="A16" s="6" t="s">
        <v>122</v>
      </c>
      <c r="B16" s="6">
        <v>6.4642335928510875E-3</v>
      </c>
      <c r="C16" s="7">
        <v>0.34171421248174738</v>
      </c>
      <c r="D16" s="7">
        <v>-1.273747329832986E-2</v>
      </c>
      <c r="E16" s="7">
        <v>-1.2401733329170384</v>
      </c>
      <c r="F16" s="7">
        <v>1.7792535800253972</v>
      </c>
      <c r="G16" s="7">
        <v>0.62096432884573005</v>
      </c>
      <c r="H16" s="7">
        <v>6.51084519631695E-2</v>
      </c>
      <c r="I16" s="7">
        <v>-0.49834056881081779</v>
      </c>
      <c r="J16" s="7">
        <v>-0.45768956624669954</v>
      </c>
      <c r="K16" s="7">
        <v>1.1930342225241499</v>
      </c>
    </row>
    <row r="17" spans="1:11" x14ac:dyDescent="0.35">
      <c r="A17" s="6" t="s">
        <v>123</v>
      </c>
      <c r="B17" s="6">
        <v>-0.21081291379232425</v>
      </c>
      <c r="C17" s="7">
        <v>8.3748545876005664E-2</v>
      </c>
      <c r="D17" s="7">
        <v>-0.22420749701268505</v>
      </c>
      <c r="E17" s="7">
        <v>0.44988837544224225</v>
      </c>
      <c r="F17" s="7">
        <v>-1.0146959539270028</v>
      </c>
      <c r="G17" s="7">
        <v>2.0235120246070437E-2</v>
      </c>
      <c r="H17" s="7">
        <v>8.3672375694732182E-2</v>
      </c>
      <c r="I17" s="7">
        <v>-8.3134636952308938E-2</v>
      </c>
      <c r="J17" s="7">
        <v>-0.16200374375330284</v>
      </c>
      <c r="K17" s="7">
        <v>-0.13331077247858</v>
      </c>
    </row>
    <row r="18" spans="1:11" x14ac:dyDescent="0.35">
      <c r="A18" s="6" t="s">
        <v>124</v>
      </c>
      <c r="B18" s="6">
        <v>-0.23182337827165611</v>
      </c>
      <c r="C18" s="7">
        <v>0.19862682165694423</v>
      </c>
      <c r="D18" s="7">
        <v>0.98692453320836648</v>
      </c>
      <c r="E18" s="7">
        <v>0.13616613614431117</v>
      </c>
      <c r="F18" s="7">
        <v>0.56693579608690925</v>
      </c>
      <c r="G18" s="7">
        <v>-0.61005493989796378</v>
      </c>
      <c r="H18" s="7">
        <v>-1.1423329599201599</v>
      </c>
      <c r="I18" s="7">
        <v>0.55627879191888496</v>
      </c>
      <c r="J18" s="7">
        <v>-1.1568795343919192</v>
      </c>
      <c r="K18" s="7">
        <v>-0.12582631825353019</v>
      </c>
    </row>
    <row r="19" spans="1:11" x14ac:dyDescent="0.35">
      <c r="A19" s="6" t="s">
        <v>125</v>
      </c>
      <c r="B19" s="6">
        <v>0.87584339780732989</v>
      </c>
      <c r="C19" s="7">
        <v>0.20276274881325662</v>
      </c>
      <c r="D19" s="7">
        <v>0.80283371062250808</v>
      </c>
      <c r="E19" s="7">
        <v>0.59455487644299865</v>
      </c>
      <c r="F19" s="7">
        <v>-1.86023419498815</v>
      </c>
      <c r="G19" s="7">
        <v>1.0862868293770589</v>
      </c>
      <c r="H19" s="7">
        <v>-0.60375748237129001</v>
      </c>
      <c r="I19" s="7">
        <v>-0.12729287846013904</v>
      </c>
      <c r="J19" s="7">
        <v>-0.88678461906965822</v>
      </c>
      <c r="K19" s="7">
        <v>0.41903376768459566</v>
      </c>
    </row>
    <row r="20" spans="1:11" x14ac:dyDescent="0.35">
      <c r="A20" s="6" t="s">
        <v>126</v>
      </c>
      <c r="B20" s="6">
        <v>-0.69477209763135761</v>
      </c>
      <c r="C20" s="7">
        <v>0.12706095731118694</v>
      </c>
      <c r="D20" s="7">
        <v>-8.8663227870711125E-2</v>
      </c>
      <c r="E20" s="7">
        <v>0.34593426789797377</v>
      </c>
      <c r="F20" s="7">
        <v>-1.5311343304347247</v>
      </c>
      <c r="G20" s="7">
        <v>3.852619556710124E-2</v>
      </c>
      <c r="H20" s="7">
        <v>1.9653089111670852</v>
      </c>
      <c r="I20" s="7">
        <v>-0.1144235284300521</v>
      </c>
      <c r="J20" s="7">
        <v>2.4903101802919991E-2</v>
      </c>
      <c r="K20" s="7">
        <v>-0.68836015998385847</v>
      </c>
    </row>
    <row r="21" spans="1:11" x14ac:dyDescent="0.35">
      <c r="A21" s="6" t="s">
        <v>127</v>
      </c>
      <c r="B21" s="6">
        <v>-0.74705440056277439</v>
      </c>
      <c r="C21" s="7">
        <v>-1.6428884919150732</v>
      </c>
      <c r="D21" s="7">
        <v>0.4860794433625415</v>
      </c>
      <c r="E21" s="7">
        <v>0.18678065316635184</v>
      </c>
      <c r="F21" s="7">
        <v>0.46364448280655779</v>
      </c>
      <c r="G21" s="7">
        <v>0.23158690964919515</v>
      </c>
      <c r="H21" s="7">
        <v>-0.18296384243877001</v>
      </c>
      <c r="I21" s="7">
        <v>-0.30183286980900448</v>
      </c>
      <c r="J21" s="7">
        <v>0.86545014710281976</v>
      </c>
      <c r="K21" s="7">
        <v>1.5862860891502299</v>
      </c>
    </row>
    <row r="22" spans="1:11" x14ac:dyDescent="0.35">
      <c r="A22" s="6" t="s">
        <v>128</v>
      </c>
      <c r="B22" s="6">
        <v>-0.46671175368828699</v>
      </c>
      <c r="C22" s="7">
        <v>0.89235300038126297</v>
      </c>
      <c r="D22" s="7">
        <v>-0.6025152288202662</v>
      </c>
      <c r="E22" s="7">
        <v>-0.16657850210322067</v>
      </c>
      <c r="F22" s="7">
        <v>-1.7248877409438099</v>
      </c>
      <c r="G22" s="7">
        <v>0.86256250142469071</v>
      </c>
      <c r="H22" s="7">
        <v>-0.17123397810792085</v>
      </c>
      <c r="I22" s="7">
        <v>-8.8355136540485546E-2</v>
      </c>
      <c r="J22" s="7">
        <v>-0.81631696957629174</v>
      </c>
      <c r="K22" s="7">
        <v>0.76036712925997563</v>
      </c>
    </row>
    <row r="23" spans="1:11" x14ac:dyDescent="0.35">
      <c r="A23" s="6" t="s">
        <v>129</v>
      </c>
      <c r="B23" s="6">
        <v>0.51477854867698625</v>
      </c>
      <c r="C23" s="7">
        <v>0.68729377744602971</v>
      </c>
      <c r="D23" s="7">
        <v>-0.65357994571968447</v>
      </c>
      <c r="E23" s="7">
        <v>-0.70092028181534261</v>
      </c>
      <c r="F23" s="7">
        <v>0.44794205678044818</v>
      </c>
      <c r="G23" s="7">
        <v>0.41344492274220102</v>
      </c>
      <c r="H23" s="7">
        <v>-0.30303453968372196</v>
      </c>
      <c r="I23" s="7">
        <v>-1.6530020729987882</v>
      </c>
      <c r="J23" s="7">
        <v>-0.281397660728544</v>
      </c>
      <c r="K23" s="7">
        <v>-1.0000826478062663</v>
      </c>
    </row>
    <row r="24" spans="1:11" x14ac:dyDescent="0.35">
      <c r="A24" s="6" t="s">
        <v>130</v>
      </c>
      <c r="B24" s="6">
        <v>0.63568904806743376</v>
      </c>
      <c r="C24" s="7">
        <v>0.47603066377632786</v>
      </c>
      <c r="D24" s="7">
        <v>-1.4709667084389366</v>
      </c>
      <c r="E24" s="7">
        <v>1.3424551070784219</v>
      </c>
      <c r="F24" s="7">
        <v>0.24756900529609993</v>
      </c>
      <c r="G24" s="7">
        <v>0.3266677595092915</v>
      </c>
      <c r="H24" s="7">
        <v>-0.36050254898145001</v>
      </c>
      <c r="I24" s="7">
        <v>-2.3135726223699749</v>
      </c>
      <c r="J24" s="7">
        <v>-0.18724790606938768</v>
      </c>
      <c r="K24" s="7">
        <v>1.2054397302563302</v>
      </c>
    </row>
    <row r="25" spans="1:11" x14ac:dyDescent="0.35">
      <c r="A25" s="6" t="s">
        <v>131</v>
      </c>
      <c r="B25" s="6">
        <v>-0.83081204138579778</v>
      </c>
      <c r="C25" s="7">
        <v>0.91293259174562991</v>
      </c>
      <c r="D25" s="7">
        <v>1.0389294402557425</v>
      </c>
      <c r="E25" s="7">
        <v>-0.33677110877761152</v>
      </c>
      <c r="F25" s="7">
        <v>1.4522674973704852</v>
      </c>
      <c r="G25" s="7">
        <v>0.15603745850967243</v>
      </c>
      <c r="H25" s="7">
        <v>0.7311700755963102</v>
      </c>
      <c r="I25" s="7">
        <v>0.95120185505948029</v>
      </c>
      <c r="J25" s="7">
        <v>0.11062036012298999</v>
      </c>
      <c r="K25" s="7">
        <v>-1.4177794582792558</v>
      </c>
    </row>
    <row r="26" spans="1:11" x14ac:dyDescent="0.35">
      <c r="A26" s="6" t="s">
        <v>132</v>
      </c>
      <c r="B26" s="6">
        <v>-0.67273731474415399</v>
      </c>
      <c r="C26" s="7">
        <v>0.32287744033965282</v>
      </c>
      <c r="D26" s="7">
        <v>0.8635606718598865</v>
      </c>
      <c r="E26" s="7">
        <v>1.1972520042036194</v>
      </c>
      <c r="F26" s="7">
        <v>0.39005840335448738</v>
      </c>
      <c r="G26" s="7">
        <v>-0.1115745362767484</v>
      </c>
      <c r="H26" s="7">
        <v>1.0768144420580938</v>
      </c>
      <c r="I26" s="7">
        <v>-0.73959199653472751</v>
      </c>
      <c r="J26" s="7">
        <v>-6.0049387684557587E-3</v>
      </c>
      <c r="K26" s="7">
        <v>1.2393502402119339</v>
      </c>
    </row>
    <row r="27" spans="1:11" x14ac:dyDescent="0.35">
      <c r="A27" s="6" t="s">
        <v>133</v>
      </c>
      <c r="B27" s="6">
        <v>0.38535745261469856</v>
      </c>
      <c r="C27" s="7">
        <v>-1.2923555914312601</v>
      </c>
      <c r="D27" s="7">
        <v>0.44684384192805737</v>
      </c>
      <c r="E27" s="7">
        <v>-0.4571802492137067</v>
      </c>
      <c r="F27" s="7">
        <v>0.74513309300527908</v>
      </c>
      <c r="G27" s="7">
        <v>0.17340767044515815</v>
      </c>
      <c r="H27" s="7">
        <v>-1.3165367818146478</v>
      </c>
      <c r="I27" s="7">
        <v>-1.5257228369591758</v>
      </c>
      <c r="J27" s="7">
        <v>-0.17985712474910542</v>
      </c>
      <c r="K27" s="7">
        <v>-0.71270505941356532</v>
      </c>
    </row>
    <row r="28" spans="1:11" x14ac:dyDescent="0.35">
      <c r="A28" s="6" t="s">
        <v>134</v>
      </c>
      <c r="B28" s="6">
        <v>0.53100393415661529</v>
      </c>
      <c r="C28" s="7">
        <v>1.1561314749997109</v>
      </c>
      <c r="D28" s="7">
        <v>4.6029526856727898E-2</v>
      </c>
      <c r="E28" s="7">
        <v>0.17154434317490086</v>
      </c>
      <c r="F28" s="7">
        <v>0.62152139435056597</v>
      </c>
      <c r="G28" s="7">
        <v>0.54142674343893304</v>
      </c>
      <c r="H28" s="7">
        <v>7.1931935963220894E-2</v>
      </c>
      <c r="I28" s="7">
        <v>-1.102575879485812</v>
      </c>
      <c r="J28" s="7">
        <v>0.27503688215801958</v>
      </c>
      <c r="K28" s="7">
        <v>-0.1141916072811</v>
      </c>
    </row>
    <row r="29" spans="1:11" x14ac:dyDescent="0.35">
      <c r="A29" s="6" t="s">
        <v>135</v>
      </c>
      <c r="B29" s="6">
        <v>0.4237995199218858</v>
      </c>
      <c r="C29" s="7">
        <v>1.0216308510280214</v>
      </c>
      <c r="D29" s="7">
        <v>-0.79514848039252684</v>
      </c>
      <c r="E29" s="7">
        <v>-1.498838173574768</v>
      </c>
      <c r="F29" s="7">
        <v>0.7260837264766451</v>
      </c>
      <c r="G29" s="7">
        <v>0.79851133705233224</v>
      </c>
      <c r="H29" s="7">
        <v>-0.50971948439837433</v>
      </c>
      <c r="I29" s="7">
        <v>0.42371539166197181</v>
      </c>
      <c r="J29" s="7">
        <v>-0.47783032641746104</v>
      </c>
      <c r="K29" s="7">
        <v>0.49194113671546802</v>
      </c>
    </row>
    <row r="30" spans="1:11" x14ac:dyDescent="0.35">
      <c r="A30" s="6" t="s">
        <v>136</v>
      </c>
      <c r="B30" s="6">
        <v>-0.49375557864550501</v>
      </c>
      <c r="C30" s="7">
        <v>1.151072410721099</v>
      </c>
      <c r="D30" s="7">
        <v>-0.74685203799162991</v>
      </c>
      <c r="E30" s="7">
        <v>0.29671241463802289</v>
      </c>
      <c r="F30" s="7">
        <v>0.76210426414036192</v>
      </c>
      <c r="G30" s="7">
        <v>0.81823827713378705</v>
      </c>
      <c r="H30" s="7">
        <v>0.64885171013884246</v>
      </c>
      <c r="I30" s="7">
        <v>1.7383126760250889</v>
      </c>
      <c r="J30" s="7">
        <v>-0.11550127965165302</v>
      </c>
      <c r="K30" s="7">
        <v>1.3014005162403919</v>
      </c>
    </row>
    <row r="31" spans="1:11" x14ac:dyDescent="0.35">
      <c r="A31" s="6" t="s">
        <v>137</v>
      </c>
      <c r="B31" s="6">
        <v>0.27909095479117241</v>
      </c>
      <c r="C31" s="7">
        <v>1.3502176443580538</v>
      </c>
      <c r="D31" s="7">
        <v>2.9330112738534808</v>
      </c>
      <c r="E31" s="7">
        <v>-1.2622626854863483</v>
      </c>
      <c r="F31" s="7">
        <v>-1.42379951992188</v>
      </c>
      <c r="G31" s="7">
        <v>-0.43176214603590779</v>
      </c>
      <c r="H31" s="7">
        <v>0.2838669388438575</v>
      </c>
      <c r="I31" s="7">
        <v>0.22978042579779867</v>
      </c>
      <c r="J31" s="7">
        <v>0.66107986640417948</v>
      </c>
      <c r="K31" s="7">
        <v>-0.51198526307416614</v>
      </c>
    </row>
    <row r="32" spans="1:11" x14ac:dyDescent="0.35">
      <c r="A32" s="6" t="s">
        <v>138</v>
      </c>
      <c r="B32" s="6">
        <v>2.2982749214861542</v>
      </c>
      <c r="C32" s="7">
        <v>-1.2114719538658392</v>
      </c>
      <c r="D32" s="7">
        <v>-0.22091398932388984</v>
      </c>
      <c r="E32" s="7">
        <v>1.3462295100907795</v>
      </c>
      <c r="F32" s="7">
        <v>0.29104171517246868</v>
      </c>
      <c r="G32" s="7">
        <v>0.29056309358566068</v>
      </c>
      <c r="H32" s="7">
        <v>7.0244823291432112E-2</v>
      </c>
      <c r="I32" s="7">
        <v>-0.99016688182018697</v>
      </c>
      <c r="J32" s="7">
        <v>0.79819528764346614</v>
      </c>
      <c r="K32" s="7">
        <v>-1.4302213457995094</v>
      </c>
    </row>
    <row r="33" spans="1:11" x14ac:dyDescent="0.35">
      <c r="A33" s="6" t="s">
        <v>139</v>
      </c>
      <c r="B33" s="6">
        <v>0.10034227670985274</v>
      </c>
      <c r="C33" s="7">
        <v>-1.689795681159012</v>
      </c>
      <c r="D33" s="7">
        <v>2.2553831513505429</v>
      </c>
      <c r="E33" s="7">
        <v>-0.99743829196086153</v>
      </c>
      <c r="F33" s="7">
        <v>-0.76241121860221028</v>
      </c>
      <c r="G33" s="7">
        <v>1.0821554496942554</v>
      </c>
      <c r="H33" s="7">
        <v>7.382823241641745E-3</v>
      </c>
      <c r="I33" s="7">
        <v>1.7098500393331051E-2</v>
      </c>
      <c r="J33" s="7">
        <v>-0.47115236156969331</v>
      </c>
      <c r="K33" s="7">
        <v>-2.707711246330291</v>
      </c>
    </row>
    <row r="34" spans="1:11" x14ac:dyDescent="0.35">
      <c r="A34" s="6" t="s">
        <v>140</v>
      </c>
      <c r="B34" s="6">
        <v>0.72111333793145604</v>
      </c>
      <c r="C34" s="7">
        <v>0.61994342104298994</v>
      </c>
      <c r="D34" s="7">
        <v>-0.48289621190633625</v>
      </c>
      <c r="E34" s="7">
        <v>-5.1314827942405827E-2</v>
      </c>
      <c r="F34" s="7">
        <v>0.34414824767736718</v>
      </c>
      <c r="G34" s="7">
        <v>2.0577590476023033</v>
      </c>
      <c r="H34" s="7">
        <v>-3.4272670745849609</v>
      </c>
      <c r="I34" s="7">
        <v>-0.15921386875561439</v>
      </c>
      <c r="J34" s="7">
        <v>-1.8562514014774933</v>
      </c>
      <c r="K34" s="7">
        <v>-2.3371740098809823E-2</v>
      </c>
    </row>
    <row r="35" spans="1:11" x14ac:dyDescent="0.35">
      <c r="A35" s="6" t="s">
        <v>141</v>
      </c>
      <c r="B35" s="6">
        <v>-1.1188785720150918</v>
      </c>
      <c r="C35" s="7">
        <v>-0.17185470824188087</v>
      </c>
      <c r="D35" s="7">
        <v>-1.0166172614844982</v>
      </c>
      <c r="E35" s="7">
        <v>0.22585481929127127</v>
      </c>
      <c r="F35" s="7">
        <v>-5.2846189646515995E-2</v>
      </c>
      <c r="G35" s="7">
        <v>-0.98842065199278295</v>
      </c>
      <c r="H35" s="7">
        <v>1.7736965673975646</v>
      </c>
      <c r="I35" s="7">
        <v>0.98022383099305443</v>
      </c>
      <c r="J35" s="7">
        <v>0.36639221434597857</v>
      </c>
      <c r="K35" s="7">
        <v>0.6156847121019382</v>
      </c>
    </row>
    <row r="36" spans="1:11" x14ac:dyDescent="0.35">
      <c r="A36" s="6" t="s">
        <v>142</v>
      </c>
      <c r="B36" s="6">
        <v>-0.26932184482575394</v>
      </c>
      <c r="C36" s="7">
        <v>1.3477483662427403</v>
      </c>
      <c r="D36" s="7">
        <v>0.64385517362097744</v>
      </c>
      <c r="E36" s="7">
        <v>0.66537040765979327</v>
      </c>
      <c r="F36" s="7">
        <v>0.97923475550487638</v>
      </c>
      <c r="G36" s="7">
        <v>-1.0308281161997002</v>
      </c>
      <c r="H36" s="7">
        <v>-1.5965997590683401</v>
      </c>
      <c r="I36" s="7">
        <v>-0.53956682677380741</v>
      </c>
      <c r="J36" s="7">
        <v>-1.6390640666941181</v>
      </c>
      <c r="K36" s="7">
        <v>1.1848123904201202</v>
      </c>
    </row>
    <row r="37" spans="1:11" x14ac:dyDescent="0.35">
      <c r="A37" s="6" t="s">
        <v>143</v>
      </c>
      <c r="B37" s="6">
        <v>0.14976876627770253</v>
      </c>
      <c r="C37" s="7">
        <v>0.43806949179270305</v>
      </c>
      <c r="D37" s="7">
        <v>-7.8759967436781153E-2</v>
      </c>
      <c r="E37" s="7">
        <v>-0.78448920248774812</v>
      </c>
      <c r="F37" s="7">
        <v>-0.81269263318972662</v>
      </c>
      <c r="G37" s="7">
        <v>0.28761178327840753</v>
      </c>
      <c r="H37" s="7">
        <v>-0.45955857785884291</v>
      </c>
      <c r="I37" s="7">
        <v>0.73667933975229971</v>
      </c>
      <c r="J37" s="7">
        <v>-1.1347560757712927</v>
      </c>
      <c r="K37" s="7">
        <v>-0.30712158149981406</v>
      </c>
    </row>
    <row r="38" spans="1:11" x14ac:dyDescent="0.35">
      <c r="A38" s="6" t="s">
        <v>144</v>
      </c>
      <c r="B38" s="6">
        <v>0.19644176063593477</v>
      </c>
      <c r="C38" s="7">
        <v>4.6336481318576261E-2</v>
      </c>
      <c r="D38" s="7">
        <v>1.4169472706271335</v>
      </c>
      <c r="E38" s="7">
        <v>-0.61457512856577523</v>
      </c>
      <c r="F38" s="7">
        <v>1.3799308362649754</v>
      </c>
      <c r="G38" s="7">
        <v>-0.42488750295888167</v>
      </c>
      <c r="H38" s="7">
        <v>1.4864872355246916</v>
      </c>
      <c r="I38" s="7">
        <v>0.96329813459306024</v>
      </c>
      <c r="J38" s="7">
        <v>-0.20502852748904843</v>
      </c>
      <c r="K38" s="7">
        <v>0.985680799203692</v>
      </c>
    </row>
    <row r="39" spans="1:11" x14ac:dyDescent="0.35">
      <c r="A39" s="6" t="s">
        <v>145</v>
      </c>
      <c r="B39" s="6">
        <v>-0.36099891076446511</v>
      </c>
      <c r="C39" s="7">
        <v>1.7788806871976703</v>
      </c>
      <c r="D39" s="7">
        <v>1.1131760402349755</v>
      </c>
      <c r="E39" s="7">
        <v>-0.35431185096967965</v>
      </c>
      <c r="F39" s="7">
        <v>-0.37581685319310054</v>
      </c>
      <c r="G39" s="7">
        <v>-1.0825669960468076</v>
      </c>
      <c r="H39" s="7">
        <v>-0.81216057878918946</v>
      </c>
      <c r="I39" s="7">
        <v>0.20003085410280619</v>
      </c>
      <c r="J39" s="7">
        <v>-0.83774693848681636</v>
      </c>
      <c r="K39" s="7">
        <v>0.53453049986273982</v>
      </c>
    </row>
    <row r="40" spans="1:11" x14ac:dyDescent="0.35">
      <c r="A40" s="6" t="s">
        <v>146</v>
      </c>
      <c r="B40" s="6">
        <v>1.0795497473736759</v>
      </c>
      <c r="C40" s="7">
        <v>-1.4888018995407037</v>
      </c>
      <c r="D40" s="7">
        <v>1.7046477296389639</v>
      </c>
      <c r="E40" s="7">
        <v>1.4660190572612919</v>
      </c>
      <c r="F40" s="7">
        <v>0.70532905738218687</v>
      </c>
      <c r="G40" s="7">
        <v>-0.17301999832852744</v>
      </c>
      <c r="H40" s="7">
        <v>0.14597844710806385</v>
      </c>
      <c r="I40" s="7">
        <v>1.0061557986773551</v>
      </c>
      <c r="J40" s="7">
        <v>0.58336354413768277</v>
      </c>
      <c r="K40" s="7">
        <v>0.2629803930176422</v>
      </c>
    </row>
    <row r="41" spans="1:11" x14ac:dyDescent="0.35">
      <c r="A41" s="6" t="s">
        <v>147</v>
      </c>
      <c r="B41" s="6">
        <v>-0.626912424195325</v>
      </c>
      <c r="C41" s="7">
        <v>0.53347093853517435</v>
      </c>
      <c r="D41" s="7">
        <v>1.2643022273550741</v>
      </c>
      <c r="E41" s="7">
        <v>-0.2392164333286928</v>
      </c>
      <c r="F41" s="7">
        <v>0.47072489905986004</v>
      </c>
      <c r="G41" s="7">
        <v>-1.317084752372466</v>
      </c>
      <c r="H41" s="7">
        <v>-2.6370980776846409</v>
      </c>
      <c r="I41" s="7">
        <v>-1.2668579074670561</v>
      </c>
      <c r="J41" s="7">
        <v>0.20682591639342718</v>
      </c>
      <c r="K41" s="7">
        <v>-0.67187556851422414</v>
      </c>
    </row>
    <row r="42" spans="1:11" x14ac:dyDescent="0.35">
      <c r="A42" s="6" t="s">
        <v>148</v>
      </c>
      <c r="B42" s="6">
        <v>5.8525984059087932E-3</v>
      </c>
      <c r="C42" s="7">
        <v>0.37237214201013558</v>
      </c>
      <c r="D42" s="7">
        <v>-2.4939072318375111</v>
      </c>
      <c r="E42" s="7">
        <v>0.89771901912172325</v>
      </c>
      <c r="F42" s="7">
        <v>-1.2054397302563302</v>
      </c>
      <c r="G42" s="7">
        <v>-1.7242746253032237</v>
      </c>
      <c r="H42" s="7">
        <v>0.17682623365544714</v>
      </c>
      <c r="I42" s="7">
        <v>2.0577590476023033</v>
      </c>
      <c r="J42" s="7">
        <v>-0.88338993009529077</v>
      </c>
      <c r="K42" s="7">
        <v>-0.68062490754527971</v>
      </c>
    </row>
    <row r="43" spans="1:11" x14ac:dyDescent="0.35">
      <c r="A43" s="6" t="s">
        <v>149</v>
      </c>
      <c r="B43" s="6">
        <v>-0.2559386302891653</v>
      </c>
      <c r="C43" s="7">
        <v>0.4274011189409066</v>
      </c>
      <c r="D43" s="7">
        <v>0.57576244216761552</v>
      </c>
      <c r="E43" s="7">
        <v>-0.14744728105142713</v>
      </c>
      <c r="F43" s="7">
        <v>1.1442739378253464</v>
      </c>
      <c r="G43" s="7">
        <v>-0.71359409048454836</v>
      </c>
      <c r="H43" s="7">
        <v>-2.880597094190307E-2</v>
      </c>
      <c r="I43" s="7">
        <v>-0.11973725122516043</v>
      </c>
      <c r="J43" s="7">
        <v>0.61436219059397001</v>
      </c>
      <c r="K43" s="7">
        <v>2.5589542929083109</v>
      </c>
    </row>
    <row r="44" spans="1:11" x14ac:dyDescent="0.35">
      <c r="A44" s="6" t="s">
        <v>150</v>
      </c>
      <c r="B44" s="6">
        <v>-4.6412651499849744E-2</v>
      </c>
      <c r="C44" s="7">
        <v>-0.23599000087415334</v>
      </c>
      <c r="D44" s="7">
        <v>-0.1174271346826572</v>
      </c>
      <c r="E44" s="7">
        <v>-0.34009190130745992</v>
      </c>
      <c r="F44" s="7">
        <v>0.86925717571284999</v>
      </c>
      <c r="G44" s="7">
        <v>-4.5110937207937241E-2</v>
      </c>
      <c r="H44" s="7">
        <v>-0.26393081498099491</v>
      </c>
      <c r="I44" s="7">
        <v>2.5260305847041309</v>
      </c>
      <c r="J44" s="7">
        <v>0.98851921595632997</v>
      </c>
      <c r="K44" s="7">
        <v>-0.3129002834612038</v>
      </c>
    </row>
    <row r="45" spans="1:11" x14ac:dyDescent="0.35">
      <c r="A45" s="6" t="s">
        <v>151</v>
      </c>
      <c r="B45" s="6">
        <v>0.33442347557866015</v>
      </c>
      <c r="C45" s="7">
        <v>-0.66584789237822406</v>
      </c>
      <c r="D45" s="7">
        <v>-0.93603830464417115</v>
      </c>
      <c r="E45" s="7">
        <v>0.16960370885499287</v>
      </c>
      <c r="F45" s="7">
        <v>-0.23237362256622873</v>
      </c>
      <c r="G45" s="7">
        <v>1.2802820492652245</v>
      </c>
      <c r="H45" s="7">
        <v>0.3925356395484414</v>
      </c>
      <c r="I45" s="7">
        <v>-0.93627477326663211</v>
      </c>
      <c r="J45" s="7">
        <v>-0.36442997952690348</v>
      </c>
      <c r="K45" s="7">
        <v>-0.38469806895591319</v>
      </c>
    </row>
    <row r="46" spans="1:11" x14ac:dyDescent="0.35">
      <c r="A46" s="6" t="s">
        <v>152</v>
      </c>
      <c r="B46" s="6">
        <v>-0.38915004552109167</v>
      </c>
      <c r="C46" s="7">
        <v>0.19379058358026668</v>
      </c>
      <c r="D46" s="7">
        <v>-1.1972520042036194</v>
      </c>
      <c r="E46" s="7">
        <v>-0.3303819084976567</v>
      </c>
      <c r="F46" s="7">
        <v>1.1174506653333083</v>
      </c>
      <c r="G46" s="7">
        <v>0.73457272264931817</v>
      </c>
      <c r="H46" s="7">
        <v>0.11704173630278092</v>
      </c>
      <c r="I46" s="7">
        <v>0.44549096855917014</v>
      </c>
      <c r="J46" s="7">
        <v>-1.0395865501777735</v>
      </c>
      <c r="K46" s="7">
        <v>0.27011424208467361</v>
      </c>
    </row>
    <row r="47" spans="1:11" x14ac:dyDescent="0.35">
      <c r="A47" s="6" t="s">
        <v>153</v>
      </c>
      <c r="B47" s="6">
        <v>-1.1417751011322252</v>
      </c>
      <c r="C47" s="7">
        <v>-0.51705001169466414</v>
      </c>
      <c r="D47" s="7">
        <v>0.86656427811249159</v>
      </c>
      <c r="E47" s="7">
        <v>-0.70287796916090883</v>
      </c>
      <c r="F47" s="7">
        <v>0.84111889009363949</v>
      </c>
      <c r="G47" s="7">
        <v>0.18670334611670114</v>
      </c>
      <c r="H47" s="7">
        <v>0.17387378647981677</v>
      </c>
      <c r="I47" s="7">
        <v>-0.86078671301947907</v>
      </c>
      <c r="J47" s="7">
        <v>-0.18094510778610129</v>
      </c>
      <c r="K47" s="7">
        <v>-0.8355755198863335</v>
      </c>
    </row>
    <row r="48" spans="1:11" x14ac:dyDescent="0.35">
      <c r="A48" s="6" t="s">
        <v>154</v>
      </c>
      <c r="B48" s="6">
        <v>-0.80167183114099316</v>
      </c>
      <c r="C48" s="7">
        <v>0.46108993956295308</v>
      </c>
      <c r="D48" s="7">
        <v>-0.83590066424221732</v>
      </c>
      <c r="E48" s="7">
        <v>0.87035573415050749</v>
      </c>
      <c r="F48" s="7">
        <v>0.36770188671653159</v>
      </c>
      <c r="G48" s="7">
        <v>-1.3710678103961982</v>
      </c>
      <c r="H48" s="7">
        <v>0.83785607785102911</v>
      </c>
      <c r="I48" s="7">
        <v>0.49747541197575629</v>
      </c>
      <c r="J48" s="7">
        <v>0.69243696998455562</v>
      </c>
      <c r="K48" s="7">
        <v>-1.0200869837717619</v>
      </c>
    </row>
    <row r="49" spans="1:11" x14ac:dyDescent="0.35">
      <c r="A49" s="6" t="s">
        <v>155</v>
      </c>
      <c r="B49" s="6">
        <v>0.15789623830642086</v>
      </c>
      <c r="C49" s="7">
        <v>-0.10641883818607312</v>
      </c>
      <c r="D49" s="7">
        <v>-1.4186161934048869</v>
      </c>
      <c r="E49" s="7">
        <v>-2.1721098164562136</v>
      </c>
      <c r="F49" s="7">
        <v>1.9600520317908376</v>
      </c>
      <c r="G49" s="7">
        <v>0.77041477197781205</v>
      </c>
      <c r="H49" s="7">
        <v>-2.8346676117507741E-2</v>
      </c>
      <c r="I49" s="7">
        <v>-0.89863533503375947</v>
      </c>
      <c r="J49" s="7">
        <v>-0.23528173187514767</v>
      </c>
      <c r="K49" s="7">
        <v>-1.3101953300065361</v>
      </c>
    </row>
    <row r="50" spans="1:11" x14ac:dyDescent="0.35">
      <c r="A50" s="6" t="s">
        <v>156</v>
      </c>
      <c r="B50" s="6">
        <v>0.26599082048051059</v>
      </c>
      <c r="C50" s="7">
        <v>-0.78532366387662478</v>
      </c>
      <c r="D50" s="7">
        <v>-0.33620381145738065</v>
      </c>
      <c r="E50" s="7">
        <v>1.0047597243101336</v>
      </c>
      <c r="F50" s="7">
        <v>0.14327270037028939</v>
      </c>
      <c r="G50" s="7">
        <v>-3.5618086258182302E-2</v>
      </c>
      <c r="H50" s="7">
        <v>1.8485934560885653</v>
      </c>
      <c r="I50" s="7">
        <v>0.63840616348898038</v>
      </c>
      <c r="J50" s="7">
        <v>0.44684384192805737</v>
      </c>
      <c r="K50" s="7">
        <v>-0.3998172815045109</v>
      </c>
    </row>
    <row r="51" spans="1:11" x14ac:dyDescent="0.35">
      <c r="A51" s="6" t="s">
        <v>157</v>
      </c>
      <c r="B51" s="6">
        <v>1.6958847481873818</v>
      </c>
      <c r="C51" s="7">
        <v>0.53382450460048858</v>
      </c>
      <c r="D51" s="7">
        <v>1.5167188394116238</v>
      </c>
      <c r="E51" s="7">
        <v>-9.3436837196299999E-3</v>
      </c>
      <c r="F51" s="7">
        <v>-1.337948560831137</v>
      </c>
      <c r="G51" s="7">
        <v>-1.3867020243196748</v>
      </c>
      <c r="H51" s="7">
        <v>-0.45505771595344413</v>
      </c>
      <c r="I51" s="7">
        <v>7.4924173532053828E-2</v>
      </c>
      <c r="J51" s="7">
        <v>-0.36999495023337658</v>
      </c>
      <c r="K51" s="7">
        <v>-5.6677436077734455E-2</v>
      </c>
    </row>
    <row r="52" spans="1:11" x14ac:dyDescent="0.35">
      <c r="A52" s="6" t="s">
        <v>158</v>
      </c>
      <c r="B52" s="6">
        <v>0.4659455044020433</v>
      </c>
      <c r="C52" s="7">
        <v>-0.58417981563252397</v>
      </c>
      <c r="D52" s="7">
        <v>0.95397126642637886</v>
      </c>
      <c r="E52" s="7">
        <v>-1.0398480299045332</v>
      </c>
      <c r="F52" s="7">
        <v>-1.1562815416255035</v>
      </c>
      <c r="G52" s="7">
        <v>-0.27082819542556535</v>
      </c>
      <c r="H52" s="7">
        <v>-1.5935984265524894</v>
      </c>
      <c r="I52" s="7">
        <v>0.293357516056858</v>
      </c>
      <c r="J52" s="7">
        <v>0.67034158948807998</v>
      </c>
      <c r="K52" s="7">
        <v>0.33571950552868657</v>
      </c>
    </row>
    <row r="53" spans="1:11" x14ac:dyDescent="0.35">
      <c r="A53" s="6" t="s">
        <v>159</v>
      </c>
      <c r="B53" s="6">
        <v>-1.4899615052854642</v>
      </c>
      <c r="C53" s="7">
        <v>1.7566253518452868</v>
      </c>
      <c r="D53" s="7">
        <v>-1.1234692465222906</v>
      </c>
      <c r="E53" s="7">
        <v>0.54986003306112252</v>
      </c>
      <c r="F53" s="7">
        <v>-0.82155793279525824</v>
      </c>
      <c r="G53" s="7">
        <v>1.3355156625038944</v>
      </c>
      <c r="H53" s="7">
        <v>-0.22962353796174284</v>
      </c>
      <c r="I53" s="7">
        <v>-2.063516149064526</v>
      </c>
      <c r="J53" s="7">
        <v>-8.4517068899003789E-2</v>
      </c>
      <c r="K53" s="7">
        <v>-0.19683284335769713</v>
      </c>
    </row>
    <row r="54" spans="1:11" x14ac:dyDescent="0.35">
      <c r="A54" s="6" t="s">
        <v>160</v>
      </c>
      <c r="B54" s="6">
        <v>-1.5727027857792564</v>
      </c>
      <c r="C54" s="7">
        <v>0.30399519346246962</v>
      </c>
      <c r="D54" s="7">
        <v>-9.5346877060364932E-2</v>
      </c>
      <c r="E54" s="7">
        <v>1.2329428500379436</v>
      </c>
      <c r="F54" s="7">
        <v>0.42346414375060704</v>
      </c>
      <c r="G54" s="7">
        <v>-0.62728418015467469</v>
      </c>
      <c r="H54" s="7">
        <v>-0.36868414099444635</v>
      </c>
      <c r="I54" s="7">
        <v>-0.82962515079998411</v>
      </c>
      <c r="J54" s="7">
        <v>0.77526237873826176</v>
      </c>
      <c r="K54" s="7">
        <v>-0.52768734551500995</v>
      </c>
    </row>
    <row r="55" spans="1:11" x14ac:dyDescent="0.35">
      <c r="A55" s="6" t="s">
        <v>161</v>
      </c>
      <c r="B55" s="6">
        <v>0.24417886379524134</v>
      </c>
      <c r="C55" s="7">
        <v>-0.69399447966134176</v>
      </c>
      <c r="D55" s="7">
        <v>0.5434640115709044</v>
      </c>
      <c r="E55" s="7">
        <v>0.28880776881123893</v>
      </c>
      <c r="F55" s="7">
        <v>1.4657916835858487</v>
      </c>
      <c r="G55" s="7">
        <v>-0.67783048507408239</v>
      </c>
      <c r="H55" s="7">
        <v>-1.6728154150769114</v>
      </c>
      <c r="I55" s="7">
        <v>0.94436927611241117</v>
      </c>
      <c r="J55" s="7">
        <v>-9.4655661087017506E-2</v>
      </c>
      <c r="K55" s="7">
        <v>-0.56003273130045272</v>
      </c>
    </row>
    <row r="56" spans="1:11" x14ac:dyDescent="0.35">
      <c r="A56" s="6" t="s">
        <v>162</v>
      </c>
      <c r="B56" s="6">
        <v>-1.8948867364088073</v>
      </c>
      <c r="C56" s="7">
        <v>1.620019247638993</v>
      </c>
      <c r="D56" s="7">
        <v>1.5524756236118264</v>
      </c>
      <c r="E56" s="7">
        <v>0.1975342911464395</v>
      </c>
      <c r="F56" s="7">
        <v>-9.7037400337285362E-2</v>
      </c>
      <c r="G56" s="7">
        <v>-0.37967879507050384</v>
      </c>
      <c r="H56" s="7">
        <v>-0.80716972661321051</v>
      </c>
      <c r="I56" s="7">
        <v>0.97001020549214445</v>
      </c>
      <c r="J56" s="7">
        <v>-9.0121829998679459E-2</v>
      </c>
      <c r="K56" s="7">
        <v>-1.2370446711429395</v>
      </c>
    </row>
    <row r="57" spans="1:11" x14ac:dyDescent="0.35">
      <c r="A57" s="6" t="s">
        <v>163</v>
      </c>
      <c r="B57" s="6">
        <v>-0.32908928915276192</v>
      </c>
      <c r="C57" s="7">
        <v>-8.6743057181593031E-2</v>
      </c>
      <c r="D57" s="7">
        <v>0.80801783042261377</v>
      </c>
      <c r="E57" s="7">
        <v>1.8186074157711118</v>
      </c>
      <c r="F57" s="7">
        <v>0.37639210859197192</v>
      </c>
      <c r="G57" s="7">
        <v>0.66986331148655154</v>
      </c>
      <c r="H57" s="7">
        <v>-4.3361746473230003E-2</v>
      </c>
      <c r="I57" s="7">
        <v>-9.7959400591207668E-2</v>
      </c>
      <c r="J57" s="7">
        <v>-0.58333023136947004</v>
      </c>
      <c r="K57" s="7">
        <v>1.0336952982470393</v>
      </c>
    </row>
    <row r="58" spans="1:11" x14ac:dyDescent="0.35">
      <c r="A58" s="6" t="s">
        <v>164</v>
      </c>
      <c r="B58" s="6">
        <v>0.18063474271912128</v>
      </c>
      <c r="C58" s="7">
        <v>-0.12914370017824695</v>
      </c>
      <c r="D58" s="7">
        <v>0.63101424530032091</v>
      </c>
      <c r="E58" s="7">
        <v>-0.18009018276643474</v>
      </c>
      <c r="F58" s="7">
        <v>1.6506055544596165</v>
      </c>
      <c r="G58" s="7">
        <v>-0.42438500713615213</v>
      </c>
      <c r="H58" s="7">
        <v>-0.92847585619892925</v>
      </c>
      <c r="I58" s="7">
        <v>-0.54612655731034465</v>
      </c>
      <c r="J58" s="7">
        <v>0.76374135460355319</v>
      </c>
      <c r="K58" s="7">
        <v>-7.6688593253493309E-2</v>
      </c>
    </row>
    <row r="59" spans="1:11" x14ac:dyDescent="0.35">
      <c r="A59" s="6" t="s">
        <v>165</v>
      </c>
      <c r="B59" s="6">
        <v>-0.37984364098520018</v>
      </c>
      <c r="C59" s="7">
        <v>-1.1903875929419883</v>
      </c>
      <c r="D59" s="7">
        <v>-9.5116092779790051E-2</v>
      </c>
      <c r="E59" s="7">
        <v>-0.64150412981689442</v>
      </c>
      <c r="F59" s="7">
        <v>-0.44599801185540855</v>
      </c>
      <c r="G59" s="7">
        <v>-1.5311343304347247</v>
      </c>
      <c r="H59" s="7">
        <v>2.4091059458442032</v>
      </c>
      <c r="I59" s="7">
        <v>-0.82520728028612211</v>
      </c>
      <c r="J59" s="7">
        <v>0.64951336753438227</v>
      </c>
      <c r="K59" s="7">
        <v>-0.75486241257749498</v>
      </c>
    </row>
    <row r="60" spans="1:11" x14ac:dyDescent="0.35">
      <c r="A60" s="6" t="s">
        <v>166</v>
      </c>
      <c r="B60" s="6">
        <v>-0.92190475697861984</v>
      </c>
      <c r="C60" s="7">
        <v>-1.4881061360938475</v>
      </c>
      <c r="D60" s="7">
        <v>1.4542456483468413</v>
      </c>
      <c r="E60" s="7">
        <v>-0.48109086492331699</v>
      </c>
      <c r="F60" s="7">
        <v>-0.76016249295207672</v>
      </c>
      <c r="G60" s="7">
        <v>-9.5653831522213295E-2</v>
      </c>
      <c r="H60" s="7">
        <v>-0.64436642080545004</v>
      </c>
      <c r="I60" s="7">
        <v>-1.2014925232506357</v>
      </c>
      <c r="J60" s="7">
        <v>-1.2815007721656002</v>
      </c>
      <c r="K60" s="7">
        <v>-0.96915300673572347</v>
      </c>
    </row>
    <row r="61" spans="1:11" x14ac:dyDescent="0.35">
      <c r="A61" s="6" t="s">
        <v>167</v>
      </c>
      <c r="B61" s="6">
        <v>0.69234033617249224</v>
      </c>
      <c r="C61" s="7">
        <v>-0.21590039978036657</v>
      </c>
      <c r="D61" s="7">
        <v>-1.2390182746457867</v>
      </c>
      <c r="E61" s="7">
        <v>-0.36933897717972286</v>
      </c>
      <c r="F61" s="7">
        <v>-0.60738443607988302</v>
      </c>
      <c r="G61" s="7">
        <v>1.192411218653433</v>
      </c>
      <c r="H61" s="7">
        <v>0.83535951489466242</v>
      </c>
      <c r="I61" s="7">
        <v>-0.40031409298535436</v>
      </c>
      <c r="J61" s="7">
        <v>1.1473707672848832</v>
      </c>
      <c r="K61" s="7">
        <v>-0.64703124028165004</v>
      </c>
    </row>
    <row r="62" spans="1:11" x14ac:dyDescent="0.35">
      <c r="A62" s="6" t="s">
        <v>168</v>
      </c>
      <c r="B62" s="6">
        <v>0.47038383854669519</v>
      </c>
      <c r="C62" s="7">
        <v>-1.5116665963432752</v>
      </c>
      <c r="D62" s="7">
        <v>0.92847585619892925</v>
      </c>
      <c r="E62" s="7">
        <v>0.12359123502392322</v>
      </c>
      <c r="F62" s="7">
        <v>0.83442352863493996</v>
      </c>
      <c r="G62" s="7">
        <v>-0.91351239461801015</v>
      </c>
      <c r="H62" s="7">
        <v>2.0811967260669917</v>
      </c>
      <c r="I62" s="7">
        <v>0.1898172286018962</v>
      </c>
      <c r="J62" s="7">
        <v>0.51504002840374596</v>
      </c>
      <c r="K62" s="7">
        <v>0.78626044341945089</v>
      </c>
    </row>
    <row r="63" spans="1:11" x14ac:dyDescent="0.35">
      <c r="A63" s="6" t="s">
        <v>169</v>
      </c>
      <c r="B63" s="6">
        <v>1.7049751477316022</v>
      </c>
      <c r="C63" s="7">
        <v>0.44988837544224225</v>
      </c>
      <c r="D63" s="7">
        <v>-0.12181772035546601</v>
      </c>
      <c r="E63" s="7">
        <v>0.63045376919035334</v>
      </c>
      <c r="F63" s="7">
        <v>0.59565081755863503</v>
      </c>
      <c r="G63" s="7">
        <v>1.0444568943057675</v>
      </c>
      <c r="H63" s="7">
        <v>-1.5152727428358048</v>
      </c>
      <c r="I63" s="7">
        <v>-0.76333208198775537</v>
      </c>
      <c r="J63" s="7">
        <v>-0.77021013566991314</v>
      </c>
      <c r="K63" s="7">
        <v>-0.22742483452020679</v>
      </c>
    </row>
    <row r="64" spans="1:11" x14ac:dyDescent="0.35">
      <c r="A64" s="6" t="s">
        <v>170</v>
      </c>
      <c r="B64" s="6">
        <v>-0.22883796191308647</v>
      </c>
      <c r="C64" s="7">
        <v>0.77743379733874463</v>
      </c>
      <c r="D64" s="7">
        <v>-1.3026510714553297</v>
      </c>
      <c r="E64" s="7">
        <v>-0.70758687797933817</v>
      </c>
      <c r="F64" s="7">
        <v>-0.4062894731760025</v>
      </c>
      <c r="G64" s="7">
        <v>1.3244016372482292</v>
      </c>
      <c r="H64" s="7">
        <v>0.43806949179270305</v>
      </c>
      <c r="I64" s="7">
        <v>-9.0736875790753402E-2</v>
      </c>
      <c r="J64" s="7">
        <v>1.2513100955402479</v>
      </c>
      <c r="K64" s="7">
        <v>0.23717007024970371</v>
      </c>
    </row>
    <row r="65" spans="1:11" x14ac:dyDescent="0.35">
      <c r="A65" s="6" t="s">
        <v>171</v>
      </c>
      <c r="B65" s="6">
        <v>-0.20206016415613703</v>
      </c>
      <c r="C65" s="7">
        <v>-0.48109086492331699</v>
      </c>
      <c r="D65" s="7">
        <v>2.3984512154129334E-2</v>
      </c>
      <c r="E65" s="7">
        <v>1.6346848497050814</v>
      </c>
      <c r="F65" s="7">
        <v>-1.5254772733896971</v>
      </c>
      <c r="G65" s="7">
        <v>0.70798023443785496</v>
      </c>
      <c r="H65" s="7">
        <v>7.5460775406099856E-2</v>
      </c>
      <c r="I65" s="7">
        <v>-1.3893077266402543</v>
      </c>
      <c r="J65" s="7">
        <v>2.0811967260669917</v>
      </c>
      <c r="K65" s="7">
        <v>0.56325689001823775</v>
      </c>
    </row>
    <row r="66" spans="1:11" x14ac:dyDescent="0.35">
      <c r="A66" s="6" t="s">
        <v>172</v>
      </c>
      <c r="B66" s="6">
        <v>-1.0140547601622529</v>
      </c>
      <c r="C66" s="7">
        <v>0.45183696784079075</v>
      </c>
      <c r="D66" s="7">
        <v>1.4163197192829102</v>
      </c>
      <c r="E66" s="7">
        <v>-0.19168737708241679</v>
      </c>
      <c r="F66" s="7">
        <v>0.48418166645569999</v>
      </c>
      <c r="G66" s="7">
        <v>0.73107764567248001</v>
      </c>
      <c r="H66" s="7">
        <v>0.5425772542366758</v>
      </c>
      <c r="I66" s="7">
        <v>-1.9765047909459099</v>
      </c>
      <c r="J66" s="7">
        <v>-0.35969264899904374</v>
      </c>
      <c r="K66" s="7">
        <v>-0.59063495427835733</v>
      </c>
    </row>
    <row r="67" spans="1:11" x14ac:dyDescent="0.35">
      <c r="A67" s="6" t="s">
        <v>173</v>
      </c>
      <c r="B67" s="6">
        <v>2.0235120246070437E-2</v>
      </c>
      <c r="C67" s="7">
        <v>0.30151227292662952</v>
      </c>
      <c r="D67" s="7">
        <v>-1.0549410944804549</v>
      </c>
      <c r="E67" s="7">
        <v>1.2491364032030106</v>
      </c>
      <c r="F67" s="7">
        <v>-9.4731831268290989E-2</v>
      </c>
      <c r="G67" s="7">
        <v>-1.0578833098406903</v>
      </c>
      <c r="H67" s="7">
        <v>-1.5563182387268171</v>
      </c>
      <c r="I67" s="7">
        <v>0.97800011644721963</v>
      </c>
      <c r="J67" s="7">
        <v>1.3819180821883492</v>
      </c>
      <c r="K67" s="7">
        <v>2.8652493710978888E-2</v>
      </c>
    </row>
    <row r="68" spans="1:11" x14ac:dyDescent="0.35">
      <c r="A68" s="6" t="s">
        <v>174</v>
      </c>
      <c r="B68" s="6">
        <v>0.51442839321680367</v>
      </c>
      <c r="C68" s="7">
        <v>4.0516852095606737E-2</v>
      </c>
      <c r="D68" s="7">
        <v>-0.39658743844483979</v>
      </c>
      <c r="E68" s="7">
        <v>-0.90196181190549396</v>
      </c>
      <c r="F68" s="7">
        <v>-0.57269517128588632</v>
      </c>
      <c r="G68" s="7">
        <v>0.22146309675008524</v>
      </c>
      <c r="H68" s="7">
        <v>-0.30655996852146927</v>
      </c>
      <c r="I68" s="7">
        <v>1.2983741726202425</v>
      </c>
      <c r="J68" s="7">
        <v>1.0355233825976029</v>
      </c>
      <c r="K68" s="7">
        <v>-0.13462226888805162</v>
      </c>
    </row>
    <row r="69" spans="1:11" x14ac:dyDescent="0.35">
      <c r="A69" s="6" t="s">
        <v>175</v>
      </c>
      <c r="B69" s="6">
        <v>-1.1719475878635421</v>
      </c>
      <c r="C69" s="7">
        <v>0.67216205934528261</v>
      </c>
      <c r="D69" s="7">
        <v>1.1183078640897293</v>
      </c>
      <c r="E69" s="7">
        <v>0.14342731446959078</v>
      </c>
      <c r="F69" s="7">
        <v>0.32731350074755028</v>
      </c>
      <c r="G69" s="7">
        <v>0.58663090385380201</v>
      </c>
      <c r="H69" s="7">
        <v>0.52011273510288447</v>
      </c>
      <c r="I69" s="7">
        <v>-0.1171179064840544</v>
      </c>
      <c r="J69" s="7">
        <v>0.52397126637515612</v>
      </c>
      <c r="K69" s="7">
        <v>2.1310916054062545</v>
      </c>
    </row>
    <row r="70" spans="1:11" x14ac:dyDescent="0.35">
      <c r="A70" s="6" t="s">
        <v>176</v>
      </c>
      <c r="B70" s="6">
        <v>-0.87764192358008586</v>
      </c>
      <c r="C70" s="7">
        <v>-0.19792423699982464</v>
      </c>
      <c r="D70" s="7">
        <v>-0.79504388850182295</v>
      </c>
      <c r="E70" s="7">
        <v>-0.88508613771409728</v>
      </c>
      <c r="F70" s="7">
        <v>2.9494913178496063E-2</v>
      </c>
      <c r="G70" s="7">
        <v>-1.9466551748337224</v>
      </c>
      <c r="H70" s="7">
        <v>-1.0407688932900783</v>
      </c>
      <c r="I70" s="7">
        <v>-0.61263563111424446</v>
      </c>
      <c r="J70" s="7">
        <v>-0.48831907406565733</v>
      </c>
      <c r="K70" s="7">
        <v>-0.36521521199029</v>
      </c>
    </row>
    <row r="71" spans="1:11" x14ac:dyDescent="0.35">
      <c r="A71" s="6" t="s">
        <v>177</v>
      </c>
      <c r="B71" s="6">
        <v>1.06610434866161</v>
      </c>
      <c r="C71" s="7">
        <v>-0.41177827370120212</v>
      </c>
      <c r="D71" s="7">
        <v>-1.2877853805548511</v>
      </c>
      <c r="E71" s="7">
        <v>-1.2143436833866872</v>
      </c>
      <c r="F71" s="7">
        <v>0.19566186892916448</v>
      </c>
      <c r="G71" s="7">
        <v>-0.74604258770705201</v>
      </c>
      <c r="H71" s="7">
        <v>-0.38321559259202331</v>
      </c>
      <c r="I71" s="7">
        <v>0.67225755628896877</v>
      </c>
      <c r="J71" s="7">
        <v>-1.0502822078706231</v>
      </c>
      <c r="K71" s="7">
        <v>1.3919225239078514</v>
      </c>
    </row>
    <row r="72" spans="1:11" x14ac:dyDescent="0.35">
      <c r="A72" s="6" t="s">
        <v>178</v>
      </c>
      <c r="B72" s="6">
        <v>0.4511582574195927</v>
      </c>
      <c r="C72" s="7">
        <v>-1.1441261449363083</v>
      </c>
      <c r="D72" s="7">
        <v>-0.81770394899649546</v>
      </c>
      <c r="E72" s="7">
        <v>-0.94544475359725766</v>
      </c>
      <c r="F72" s="7">
        <v>-0.46500645112246275</v>
      </c>
      <c r="G72" s="7">
        <v>-1.4115403246250935</v>
      </c>
      <c r="H72" s="7">
        <v>-0.64075265981955454</v>
      </c>
      <c r="I72" s="7">
        <v>-1.9846629584208131</v>
      </c>
      <c r="J72" s="7">
        <v>0.36304072636994533</v>
      </c>
      <c r="K72" s="7">
        <v>0.4135279141337378</v>
      </c>
    </row>
    <row r="73" spans="1:11" x14ac:dyDescent="0.35">
      <c r="A73" s="6" t="s">
        <v>179</v>
      </c>
      <c r="B73" s="6">
        <v>1.2256145964784082</v>
      </c>
      <c r="C73" s="7">
        <v>0.23866505216574296</v>
      </c>
      <c r="D73" s="7">
        <v>2.1459527488332242E-2</v>
      </c>
      <c r="E73" s="7">
        <v>-1.0783173820527736</v>
      </c>
      <c r="F73" s="7">
        <v>8.0262907431460917E-4</v>
      </c>
      <c r="G73" s="7">
        <v>-0.70356463766074739</v>
      </c>
      <c r="H73" s="7">
        <v>1.7355432646581903</v>
      </c>
      <c r="I73" s="7">
        <v>-1.5054592950036749</v>
      </c>
      <c r="J73" s="7">
        <v>0.30439650799962692</v>
      </c>
      <c r="K73" s="7">
        <v>-0.68787585405516438</v>
      </c>
    </row>
    <row r="74" spans="1:11" x14ac:dyDescent="0.35">
      <c r="A74" s="6" t="s">
        <v>180</v>
      </c>
      <c r="B74" s="6">
        <v>-0.30327441891131457</v>
      </c>
      <c r="C74" s="7">
        <v>1.0536086847423576</v>
      </c>
      <c r="D74" s="7">
        <v>-7.7916411100886762E-2</v>
      </c>
      <c r="E74" s="7">
        <v>-0.37516088013944682</v>
      </c>
      <c r="F74" s="7">
        <v>9.4655661087017506E-2</v>
      </c>
      <c r="G74" s="7">
        <v>1.0226631275145337</v>
      </c>
      <c r="H74" s="7">
        <v>-0.99957787824678235</v>
      </c>
      <c r="I74" s="7">
        <v>0.98506006906973198</v>
      </c>
      <c r="J74" s="7">
        <v>-0.16510398381797131</v>
      </c>
      <c r="K74" s="7">
        <v>1.9027720554731786</v>
      </c>
    </row>
    <row r="75" spans="1:11" x14ac:dyDescent="0.35">
      <c r="A75" s="6" t="s">
        <v>181</v>
      </c>
      <c r="B75" s="6">
        <v>0.38148755265865475</v>
      </c>
      <c r="C75" s="7">
        <v>-1.0037479114544112</v>
      </c>
      <c r="D75" s="7">
        <v>-0.6261666385398712</v>
      </c>
      <c r="E75" s="7">
        <v>-0.93971948444959708</v>
      </c>
      <c r="F75" s="7">
        <v>0.79451865531154908</v>
      </c>
      <c r="G75" s="7">
        <v>0.10457256394147407</v>
      </c>
      <c r="H75" s="7">
        <v>-0.1386376879963791</v>
      </c>
      <c r="I75" s="7">
        <v>0.99004182629869319</v>
      </c>
      <c r="J75" s="7">
        <v>0.97689053291105665</v>
      </c>
      <c r="K75" s="7">
        <v>-0.33645244204671998</v>
      </c>
    </row>
    <row r="76" spans="1:11" x14ac:dyDescent="0.35">
      <c r="A76" s="6" t="s">
        <v>182</v>
      </c>
      <c r="B76" s="6">
        <v>0.4005630671599647</v>
      </c>
      <c r="C76" s="7">
        <v>-0.59145349950995296</v>
      </c>
      <c r="D76" s="7">
        <v>4.3655745685100555E-2</v>
      </c>
      <c r="E76" s="7">
        <v>-0.27249598133494146</v>
      </c>
      <c r="F76" s="7">
        <v>-0.86023419498815201</v>
      </c>
      <c r="G76" s="7">
        <v>-1.5596651792293414</v>
      </c>
      <c r="H76" s="7">
        <v>-1.1461906979093328</v>
      </c>
      <c r="I76" s="7">
        <v>-0.3915442903235089</v>
      </c>
      <c r="J76" s="7">
        <v>-0.46577497414546087</v>
      </c>
      <c r="K76" s="7">
        <v>-0.18126990855670999</v>
      </c>
    </row>
    <row r="77" spans="1:11" x14ac:dyDescent="0.35">
      <c r="A77" s="6" t="s">
        <v>183</v>
      </c>
      <c r="B77" s="6">
        <v>0.26773477657116018</v>
      </c>
      <c r="C77" s="7">
        <v>-2.4443806978524663E-2</v>
      </c>
      <c r="D77" s="7">
        <v>-1.4939283826388401</v>
      </c>
      <c r="E77" s="7">
        <v>-1.9517665350576863</v>
      </c>
      <c r="F77" s="7">
        <v>-0.54737029131501913</v>
      </c>
      <c r="G77" s="7">
        <v>0.76671540227835067</v>
      </c>
      <c r="H77" s="7">
        <v>-0.33539436117280275</v>
      </c>
      <c r="I77" s="7">
        <v>-0.24701648726477288</v>
      </c>
      <c r="J77" s="7">
        <v>0.30872570278006606</v>
      </c>
      <c r="K77" s="7">
        <v>0.13176645552448463</v>
      </c>
    </row>
    <row r="78" spans="1:11" x14ac:dyDescent="0.35">
      <c r="A78" s="6" t="s">
        <v>184</v>
      </c>
      <c r="B78" s="6">
        <v>-1.0946041584247723</v>
      </c>
      <c r="C78" s="7">
        <v>0.37573499866994098</v>
      </c>
      <c r="D78" s="7">
        <v>-0.35162429412594065</v>
      </c>
      <c r="E78" s="7">
        <v>0.77484855864895508</v>
      </c>
      <c r="F78" s="7">
        <v>-0.93805510914535262</v>
      </c>
      <c r="G78" s="7">
        <v>-1.5068872016854584</v>
      </c>
      <c r="H78" s="7">
        <v>1.18016862668446</v>
      </c>
      <c r="I78" s="7">
        <v>0.35569655665312894</v>
      </c>
      <c r="J78" s="7">
        <v>-3.117747837677598E-2</v>
      </c>
      <c r="K78" s="7">
        <v>-0.94568349595647305</v>
      </c>
    </row>
    <row r="79" spans="1:11" x14ac:dyDescent="0.35">
      <c r="A79" s="6" t="s">
        <v>185</v>
      </c>
      <c r="B79" s="6">
        <v>-2.1333107724785805</v>
      </c>
      <c r="C79" s="7">
        <v>0.71725025918567553</v>
      </c>
      <c r="D79" s="7">
        <v>-0.91968331616953947</v>
      </c>
      <c r="E79" s="7">
        <v>-3.9368615034618415E-2</v>
      </c>
      <c r="F79" s="7">
        <v>-1.3634689821628854</v>
      </c>
      <c r="G79" s="7">
        <v>0.2178580871259328</v>
      </c>
      <c r="H79" s="7">
        <v>-0.51399183575995266</v>
      </c>
      <c r="I79" s="7">
        <v>0.82456381278461777</v>
      </c>
      <c r="J79" s="7">
        <v>2.0680363377323374</v>
      </c>
      <c r="K79" s="7">
        <v>0.32763637136667967</v>
      </c>
    </row>
    <row r="80" spans="1:11" x14ac:dyDescent="0.35">
      <c r="A80" s="6" t="s">
        <v>186</v>
      </c>
      <c r="B80" s="6">
        <v>1.2717808911256701</v>
      </c>
      <c r="C80" s="7">
        <v>-0.70807800511829555</v>
      </c>
      <c r="D80" s="7">
        <v>3.2325715437764302E-2</v>
      </c>
      <c r="E80" s="7">
        <v>-0.94556526164524257</v>
      </c>
      <c r="F80" s="7">
        <v>0.51938365888781002</v>
      </c>
      <c r="G80" s="7">
        <v>-0.74745912570506334</v>
      </c>
      <c r="H80" s="7">
        <v>-0.90541561803547665</v>
      </c>
      <c r="I80" s="7">
        <v>-1.9497110770316795</v>
      </c>
      <c r="J80" s="7">
        <v>9.3118615041021258E-2</v>
      </c>
      <c r="K80" s="7">
        <v>0.20252855392755009</v>
      </c>
    </row>
    <row r="81" spans="1:11" x14ac:dyDescent="0.35">
      <c r="A81" s="6" t="s">
        <v>187</v>
      </c>
      <c r="B81" s="6">
        <v>1.51591314331744</v>
      </c>
      <c r="C81" s="7">
        <v>-1.4045303942111786</v>
      </c>
      <c r="D81" s="7">
        <v>0.16541434888495132</v>
      </c>
      <c r="E81" s="7">
        <v>-1.3196358850109391</v>
      </c>
      <c r="F81" s="7">
        <v>-0.39609176383237354</v>
      </c>
      <c r="G81" s="7">
        <v>-1.0601615940686315</v>
      </c>
      <c r="H81" s="7">
        <v>6.9937868829583749E-2</v>
      </c>
      <c r="I81" s="7">
        <v>1.0268013284076005</v>
      </c>
      <c r="J81" s="7">
        <v>-0.45522710934164934</v>
      </c>
      <c r="K81" s="7">
        <v>-9.5731138571863994E-2</v>
      </c>
    </row>
    <row r="82" spans="1:11" x14ac:dyDescent="0.35">
      <c r="A82" s="6" t="s">
        <v>188</v>
      </c>
      <c r="B82" s="6">
        <v>0.49756181397242472</v>
      </c>
      <c r="C82" s="7">
        <v>-2.7454370865598321</v>
      </c>
      <c r="D82" s="7">
        <v>7.8682660387130454E-2</v>
      </c>
      <c r="E82" s="7">
        <v>0.62384287957684137</v>
      </c>
      <c r="F82" s="7">
        <v>0.23103780222299974</v>
      </c>
      <c r="G82" s="7">
        <v>-1.8679475033422932</v>
      </c>
      <c r="H82" s="7">
        <v>-0.20237280295987148</v>
      </c>
      <c r="I82" s="7">
        <v>2.1765345081803389E-2</v>
      </c>
      <c r="J82" s="7">
        <v>-0.25214603738277219</v>
      </c>
      <c r="K82" s="7">
        <v>-0.3446773411706</v>
      </c>
    </row>
    <row r="83" spans="1:11" x14ac:dyDescent="0.35">
      <c r="A83" s="6" t="s">
        <v>189</v>
      </c>
      <c r="B83" s="6">
        <v>1.1384054232621565</v>
      </c>
      <c r="C83" s="7">
        <v>0.37245399653329514</v>
      </c>
      <c r="D83" s="7">
        <v>1.2610757949005347</v>
      </c>
      <c r="E83" s="7">
        <v>-1.9711387722054496</v>
      </c>
      <c r="F83" s="7">
        <v>1.1395741239539348</v>
      </c>
      <c r="G83" s="7">
        <v>-5.1085180530208163E-2</v>
      </c>
      <c r="H83" s="7">
        <v>0.98406644610804506</v>
      </c>
      <c r="I83" s="7">
        <v>0.36230517252988648</v>
      </c>
      <c r="J83" s="7">
        <v>0.50379946717294</v>
      </c>
      <c r="K83" s="7">
        <v>-0.42239514389075</v>
      </c>
    </row>
    <row r="84" spans="1:11" x14ac:dyDescent="0.35">
      <c r="A84" s="6" t="s">
        <v>190</v>
      </c>
      <c r="B84" s="6">
        <v>-4.7332378017017618E-2</v>
      </c>
      <c r="C84" s="7">
        <v>0.67062956077279523</v>
      </c>
      <c r="D84" s="7">
        <v>0.2860974745999556</v>
      </c>
      <c r="E84" s="7">
        <v>0.6699588084302377</v>
      </c>
      <c r="F84" s="7">
        <v>-1.0983717402268667</v>
      </c>
      <c r="G84" s="7">
        <v>-0.68419694798649289</v>
      </c>
      <c r="H84" s="7">
        <v>-0.93485368779511191</v>
      </c>
      <c r="I84" s="7">
        <v>1.3033650247962214</v>
      </c>
      <c r="J84" s="7">
        <v>-0.45760543798678555</v>
      </c>
      <c r="K84" s="7">
        <v>-0.31885065254755318</v>
      </c>
    </row>
    <row r="85" spans="1:11" x14ac:dyDescent="0.35">
      <c r="A85" s="6" t="s">
        <v>191</v>
      </c>
      <c r="B85" s="6">
        <v>0.72508782977820374</v>
      </c>
      <c r="C85" s="7">
        <v>-1.5695513866376132</v>
      </c>
      <c r="D85" s="7">
        <v>0.63915649661794305</v>
      </c>
      <c r="E85" s="7">
        <v>0.24551809474360198</v>
      </c>
      <c r="F85" s="7">
        <v>-1.6968533600447699</v>
      </c>
      <c r="G85" s="7">
        <v>0.81834514276124537</v>
      </c>
      <c r="H85" s="7">
        <v>-0.58417981563252397</v>
      </c>
      <c r="I85" s="7">
        <v>0.28737304091919214</v>
      </c>
      <c r="J85" s="7">
        <v>1.1080737749580294</v>
      </c>
      <c r="K85" s="7">
        <v>0.1918431280500954</v>
      </c>
    </row>
    <row r="86" spans="1:11" x14ac:dyDescent="0.35">
      <c r="A86" s="6" t="s">
        <v>192</v>
      </c>
      <c r="B86" s="6">
        <v>-0.36091705624130554</v>
      </c>
      <c r="C86" s="7">
        <v>0.35284529076307081</v>
      </c>
      <c r="D86" s="7">
        <v>1.3458520697895437</v>
      </c>
      <c r="E86" s="7">
        <v>-1.5653677110094577</v>
      </c>
      <c r="F86" s="7">
        <v>0.41078010326600634</v>
      </c>
      <c r="G86" s="7">
        <v>0.1054183940141229</v>
      </c>
      <c r="H86" s="7">
        <v>-0.12621285350178368</v>
      </c>
      <c r="I86" s="7">
        <v>-1.5375871953438036</v>
      </c>
      <c r="J86" s="7">
        <v>0.14706074580317363</v>
      </c>
      <c r="K86" s="7">
        <v>-0.25135705072898418</v>
      </c>
    </row>
    <row r="87" spans="1:11" x14ac:dyDescent="0.35">
      <c r="A87" s="6" t="s">
        <v>193</v>
      </c>
      <c r="B87" s="6">
        <v>-0.25080453269765712</v>
      </c>
      <c r="C87" s="7">
        <v>0.73477394835208543</v>
      </c>
      <c r="D87" s="7">
        <v>-1.175144461740274</v>
      </c>
      <c r="E87" s="7">
        <v>1.5779960449435748</v>
      </c>
      <c r="F87" s="7">
        <v>8.7917891913090004E-2</v>
      </c>
      <c r="G87" s="7">
        <v>0.96573330665705726</v>
      </c>
      <c r="H87" s="7">
        <v>-4.8787569539854303E-2</v>
      </c>
      <c r="I87" s="7">
        <v>-0.56388444136246108</v>
      </c>
      <c r="J87" s="7">
        <v>0.39203996493597515</v>
      </c>
      <c r="K87" s="7">
        <v>-0.12226950679905001</v>
      </c>
    </row>
    <row r="88" spans="1:11" x14ac:dyDescent="0.35">
      <c r="A88" s="6" t="s">
        <v>194</v>
      </c>
      <c r="B88" s="6">
        <v>0.91293259174562991</v>
      </c>
      <c r="C88" s="7">
        <v>-1.3724388736591209</v>
      </c>
      <c r="D88" s="7">
        <v>0.48418542064609937</v>
      </c>
      <c r="E88" s="7">
        <v>-0.2194777809782</v>
      </c>
      <c r="F88" s="7">
        <v>-0.12359123502392322</v>
      </c>
      <c r="G88" s="7">
        <v>0.66900156525662169</v>
      </c>
      <c r="H88" s="7">
        <v>-0.57404804465477355</v>
      </c>
      <c r="I88" s="7">
        <v>-1.8551418179413304E-2</v>
      </c>
      <c r="J88" s="7">
        <v>1.8202081264462322</v>
      </c>
      <c r="K88" s="7">
        <v>-0.60049842431908473</v>
      </c>
    </row>
    <row r="89" spans="1:11" x14ac:dyDescent="0.35">
      <c r="A89" s="6" t="s">
        <v>195</v>
      </c>
      <c r="B89" s="6">
        <v>-0.24260316422441974</v>
      </c>
      <c r="C89" s="7">
        <v>0.14180500329530332</v>
      </c>
      <c r="D89" s="7">
        <v>0.82843826021417044</v>
      </c>
      <c r="E89" s="7">
        <v>0.70268242780002765</v>
      </c>
      <c r="F89" s="7">
        <v>-0.1606849764357321</v>
      </c>
      <c r="G89" s="7">
        <v>1.5903378880466335</v>
      </c>
      <c r="H89" s="7">
        <v>-1.1059546523028985</v>
      </c>
      <c r="I89" s="7">
        <v>1.7138791008619592</v>
      </c>
      <c r="J89" s="7">
        <v>-0.21754431145382114</v>
      </c>
      <c r="K89" s="7">
        <v>0.14157308214635123</v>
      </c>
    </row>
    <row r="90" spans="1:11" x14ac:dyDescent="0.35">
      <c r="A90" s="6" t="s">
        <v>196</v>
      </c>
      <c r="B90" s="6">
        <v>-0.79462438407063019</v>
      </c>
      <c r="C90" s="7">
        <v>0.65168705987161957</v>
      </c>
      <c r="D90" s="7">
        <v>-0.31506942832493223</v>
      </c>
      <c r="E90" s="7">
        <v>-0.26922566071151999</v>
      </c>
      <c r="F90" s="7">
        <v>0.52116433835180942</v>
      </c>
      <c r="G90" s="7">
        <v>-1.2141845218138769</v>
      </c>
      <c r="H90" s="7">
        <v>-6.1581886257044971E-2</v>
      </c>
      <c r="I90" s="7">
        <v>0.40106101550918538</v>
      </c>
      <c r="J90" s="7">
        <v>1.20528056868352</v>
      </c>
      <c r="K90" s="7">
        <v>1.5274417819455266</v>
      </c>
    </row>
    <row r="91" spans="1:11" x14ac:dyDescent="0.35">
      <c r="A91" s="6" t="s">
        <v>197</v>
      </c>
      <c r="B91" s="6">
        <v>-0.40147597246686928</v>
      </c>
      <c r="C91" s="7">
        <v>-0.52563791541615501</v>
      </c>
      <c r="D91" s="7">
        <v>-0.26424800125823822</v>
      </c>
      <c r="E91" s="7">
        <v>-0.84221028373576701</v>
      </c>
      <c r="F91" s="7">
        <v>0.15270870790118352</v>
      </c>
      <c r="G91" s="7">
        <v>-1.3083899830235168</v>
      </c>
      <c r="H91" s="7">
        <v>-0.66766233430826105</v>
      </c>
      <c r="I91" s="7">
        <v>0.72658167482586578</v>
      </c>
      <c r="J91" s="7">
        <v>0.2001866050704848</v>
      </c>
      <c r="K91" s="7">
        <v>-0.12544205674203113</v>
      </c>
    </row>
    <row r="92" spans="1:11" x14ac:dyDescent="0.35">
      <c r="A92" s="6" t="s">
        <v>198</v>
      </c>
      <c r="B92" s="6">
        <v>-1.9046456145588309</v>
      </c>
      <c r="C92" s="7">
        <v>-1.8967330106534064</v>
      </c>
      <c r="D92" s="7">
        <v>-1.4230272427084856</v>
      </c>
      <c r="E92" s="7">
        <v>0.51775032261502929</v>
      </c>
      <c r="F92" s="7">
        <v>0.2717808911256725</v>
      </c>
      <c r="G92" s="7">
        <v>1.3847056834492832</v>
      </c>
      <c r="H92" s="7">
        <v>1.16324293028446</v>
      </c>
      <c r="I92" s="7">
        <v>1.1080737749580294</v>
      </c>
      <c r="J92" s="7">
        <v>0.34347680816426002</v>
      </c>
      <c r="K92" s="7">
        <v>-0.15100567907211371</v>
      </c>
    </row>
    <row r="93" spans="1:11" x14ac:dyDescent="0.35">
      <c r="A93" s="6" t="s">
        <v>199</v>
      </c>
      <c r="B93" s="6">
        <v>2.4232758732978255</v>
      </c>
      <c r="C93" s="7">
        <v>1.2711370800388977</v>
      </c>
      <c r="D93" s="7">
        <v>-1.65670860749378</v>
      </c>
      <c r="E93" s="7">
        <v>0.88259866970474832</v>
      </c>
      <c r="F93" s="7">
        <v>-0.44625153350352775</v>
      </c>
      <c r="G93" s="7">
        <v>1.5446130419149995</v>
      </c>
      <c r="H93" s="7">
        <v>-1.468938535253983</v>
      </c>
      <c r="I93" s="7">
        <v>1.28036311050527</v>
      </c>
      <c r="J93" s="7">
        <v>-0.45641627366421744</v>
      </c>
      <c r="K93" s="7">
        <v>1.2742293620249256</v>
      </c>
    </row>
    <row r="94" spans="1:11" x14ac:dyDescent="0.35">
      <c r="A94" s="6" t="s">
        <v>200</v>
      </c>
      <c r="B94" s="6">
        <v>0.88859906099969521</v>
      </c>
      <c r="C94" s="7">
        <v>1.0224061952612828</v>
      </c>
      <c r="D94" s="7">
        <v>-1.7621042641403599</v>
      </c>
      <c r="E94" s="7">
        <v>0.72498778536100872</v>
      </c>
      <c r="F94" s="7">
        <v>0.91630226961569861</v>
      </c>
      <c r="G94" s="7">
        <v>4.7102730604819953E-2</v>
      </c>
      <c r="H94" s="7">
        <v>0.26028828870039433</v>
      </c>
      <c r="I94" s="7">
        <v>0.6240281891223276</v>
      </c>
      <c r="J94" s="7">
        <v>-3.1816307455301285</v>
      </c>
      <c r="K94" s="7">
        <v>0.46816239773761481</v>
      </c>
    </row>
    <row r="95" spans="1:11" x14ac:dyDescent="0.35">
      <c r="A95" s="6" t="s">
        <v>201</v>
      </c>
      <c r="B95" s="6">
        <v>-0.18927266864920966</v>
      </c>
      <c r="C95" s="7">
        <v>0.38157054405019153</v>
      </c>
      <c r="D95" s="7">
        <v>0.84231942309997976</v>
      </c>
      <c r="E95" s="7">
        <v>-0.96854137154878117</v>
      </c>
      <c r="F95" s="7">
        <v>-0.92389655037550256</v>
      </c>
      <c r="G95" s="7">
        <v>-1.9257186067989096</v>
      </c>
      <c r="H95" s="7">
        <v>-0.80568725024932064</v>
      </c>
      <c r="I95" s="7">
        <v>-0.43520799408724997</v>
      </c>
      <c r="J95" s="7">
        <v>-0.51696360969799571</v>
      </c>
      <c r="K95" s="7">
        <v>-0.82100848178379005</v>
      </c>
    </row>
    <row r="96" spans="1:11" x14ac:dyDescent="0.35">
      <c r="A96" s="6" t="s">
        <v>202</v>
      </c>
      <c r="B96" s="6">
        <v>-0.71913063948159106</v>
      </c>
      <c r="C96" s="7">
        <v>1.0473650036146864</v>
      </c>
      <c r="D96" s="7">
        <v>-1.9390055311087</v>
      </c>
      <c r="E96" s="7">
        <v>-0.76404830906540155</v>
      </c>
      <c r="F96" s="7">
        <v>0.53832877711101901</v>
      </c>
      <c r="G96" s="7">
        <v>0.53029907576274127</v>
      </c>
      <c r="H96" s="7">
        <v>-0.77123900155129377</v>
      </c>
      <c r="I96" s="7">
        <v>-1.9759681890718639</v>
      </c>
      <c r="J96" s="7">
        <v>0.86700993051636033</v>
      </c>
      <c r="K96" s="7">
        <v>1.0896042113017756</v>
      </c>
    </row>
    <row r="97" spans="1:11" x14ac:dyDescent="0.35">
      <c r="A97" s="6" t="s">
        <v>203</v>
      </c>
      <c r="B97" s="6">
        <v>0.69010638981126249</v>
      </c>
      <c r="C97" s="7">
        <v>-0.65917902247747406</v>
      </c>
      <c r="D97" s="7">
        <v>0.27829628379549831</v>
      </c>
      <c r="E97" s="7">
        <v>0.33102878660429269</v>
      </c>
      <c r="F97" s="7">
        <v>2.4443806978524663E-2</v>
      </c>
      <c r="G97" s="7">
        <v>0.65329572862538043</v>
      </c>
      <c r="H97" s="7">
        <v>1.12275074570789</v>
      </c>
      <c r="I97" s="7">
        <v>0.90449248091317713</v>
      </c>
      <c r="J97" s="7">
        <v>-0.39501628634752706</v>
      </c>
      <c r="K97" s="7">
        <v>-0.67225755628896877</v>
      </c>
    </row>
    <row r="98" spans="1:11" x14ac:dyDescent="0.35">
      <c r="A98" s="6" t="s">
        <v>204</v>
      </c>
      <c r="B98" s="6">
        <v>-0.99680846687988378</v>
      </c>
      <c r="C98" s="7">
        <v>1.9674189388751984</v>
      </c>
      <c r="D98" s="7">
        <v>3.546460902725812E-2</v>
      </c>
      <c r="E98" s="7">
        <v>-0.10553173726657</v>
      </c>
      <c r="F98" s="7">
        <v>0.18373463919852001</v>
      </c>
      <c r="G98" s="7">
        <v>1.4389979696716182</v>
      </c>
      <c r="H98" s="7">
        <v>1.0505482350708917</v>
      </c>
      <c r="I98" s="7">
        <v>-0.41586190491216257</v>
      </c>
      <c r="J98" s="7">
        <v>-0.76527840064954944</v>
      </c>
      <c r="K98" s="7">
        <v>-0.40761960917734541</v>
      </c>
    </row>
    <row r="99" spans="1:11" x14ac:dyDescent="0.35">
      <c r="A99" s="6" t="s">
        <v>205</v>
      </c>
      <c r="B99" s="6">
        <v>-1.233433977176901</v>
      </c>
      <c r="C99" s="7">
        <v>0.30655996852146927</v>
      </c>
      <c r="D99" s="7">
        <v>-2.0872357708867639</v>
      </c>
      <c r="E99" s="7">
        <v>0.20862330529780593</v>
      </c>
      <c r="F99" s="7">
        <v>-1.4673651094199158</v>
      </c>
      <c r="G99" s="7">
        <v>-0.11542397260200232</v>
      </c>
      <c r="H99" s="7">
        <v>0.53559006119030528</v>
      </c>
      <c r="I99" s="7">
        <v>-1.7748061509337276</v>
      </c>
      <c r="J99" s="7">
        <v>0.40745248952589463</v>
      </c>
      <c r="K99" s="7">
        <v>-0.91653646450140513</v>
      </c>
    </row>
    <row r="100" spans="1:11" x14ac:dyDescent="0.35">
      <c r="A100" s="6" t="s">
        <v>206</v>
      </c>
      <c r="B100" s="6">
        <v>-1.110338416765444</v>
      </c>
      <c r="C100" s="7">
        <v>2.8528302209451795</v>
      </c>
      <c r="D100" s="7">
        <v>0.81631696957629174</v>
      </c>
      <c r="E100" s="7">
        <v>-0.1909074853756465</v>
      </c>
      <c r="F100" s="7">
        <v>-1.33925823320169</v>
      </c>
      <c r="G100" s="7">
        <v>-0.93592007033294067</v>
      </c>
      <c r="H100" s="7">
        <v>-0.10503413250262383</v>
      </c>
      <c r="I100" s="7">
        <v>0.67149130700272508</v>
      </c>
      <c r="J100" s="7">
        <v>-1.9160324882250279</v>
      </c>
      <c r="K100" s="7">
        <v>-0.89429022409603931</v>
      </c>
    </row>
    <row r="101" spans="1:11" x14ac:dyDescent="0.35">
      <c r="A101" s="6" t="s">
        <v>207</v>
      </c>
      <c r="B101" s="6">
        <v>1.0768144420580938</v>
      </c>
      <c r="C101" s="7">
        <v>-0.73037199399550445</v>
      </c>
      <c r="D101" s="7">
        <v>-1.5680158210452599</v>
      </c>
      <c r="E101" s="7">
        <v>0.30423507269006222</v>
      </c>
      <c r="F101" s="7">
        <v>-0.64188043324975297</v>
      </c>
      <c r="G101" s="7">
        <v>0.68169969785957996</v>
      </c>
      <c r="H101" s="7">
        <v>0.34187678465968929</v>
      </c>
      <c r="I101" s="7">
        <v>1.2078135114279576</v>
      </c>
      <c r="J101" s="7">
        <v>0.79085339166340418</v>
      </c>
      <c r="K101" s="7">
        <v>0.12544205674203113</v>
      </c>
    </row>
    <row r="102" spans="1:11" x14ac:dyDescent="0.35">
      <c r="A102" s="6" t="s">
        <v>208</v>
      </c>
      <c r="B102" s="6">
        <v>1.6609000039999999</v>
      </c>
      <c r="C102" s="7">
        <v>-0.22880271899999999</v>
      </c>
      <c r="D102" s="7">
        <v>-1.8118356470000001</v>
      </c>
      <c r="E102" s="7">
        <v>1.4537983839999999</v>
      </c>
      <c r="F102" s="7">
        <v>-1.1155978879999999</v>
      </c>
      <c r="G102" s="7">
        <v>-0.93441155200000003</v>
      </c>
      <c r="H102" s="7">
        <v>0.96174752699999999</v>
      </c>
      <c r="I102" s="7">
        <v>0.12693101100000001</v>
      </c>
      <c r="J102" s="7">
        <v>-1.722187997</v>
      </c>
      <c r="K102" s="7">
        <v>0.32271381199999999</v>
      </c>
    </row>
    <row r="108" spans="1:11" x14ac:dyDescent="0.35">
      <c r="E108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2"/>
  <sheetViews>
    <sheetView workbookViewId="0">
      <selection activeCell="M22" sqref="M22"/>
    </sheetView>
  </sheetViews>
  <sheetFormatPr defaultRowHeight="14.5" x14ac:dyDescent="0.35"/>
  <cols>
    <col min="1" max="1" width="23.453125" customWidth="1"/>
    <col min="2" max="2" width="17.7265625" customWidth="1"/>
    <col min="3" max="3" width="4.81640625" customWidth="1"/>
    <col min="4" max="4" width="3.1796875" customWidth="1"/>
    <col min="5" max="5" width="8.54296875" customWidth="1"/>
    <col min="6" max="6" width="3.54296875" customWidth="1"/>
    <col min="7" max="7" width="3.1796875" customWidth="1"/>
    <col min="8" max="8" width="13.81640625" customWidth="1"/>
    <col min="19" max="19" width="10" bestFit="1" customWidth="1"/>
    <col min="20" max="20" width="9.26953125" bestFit="1" customWidth="1"/>
  </cols>
  <sheetData>
    <row r="1" spans="1:15" x14ac:dyDescent="0.35">
      <c r="A1" s="3" t="s">
        <v>1</v>
      </c>
      <c r="B1" s="3" t="s">
        <v>217</v>
      </c>
      <c r="C1" s="3"/>
      <c r="D1" s="3"/>
      <c r="E1" s="3"/>
      <c r="F1" s="3"/>
      <c r="G1" s="3"/>
      <c r="H1" s="3"/>
      <c r="I1" t="s">
        <v>226</v>
      </c>
    </row>
    <row r="2" spans="1:15" x14ac:dyDescent="0.35">
      <c r="A2" s="1" t="s">
        <v>2</v>
      </c>
      <c r="B2" s="2">
        <v>5</v>
      </c>
      <c r="C2" s="4" t="s">
        <v>9</v>
      </c>
      <c r="D2" s="4" t="s">
        <v>5</v>
      </c>
      <c r="E2" s="4">
        <v>212</v>
      </c>
      <c r="F2" s="4" t="s">
        <v>216</v>
      </c>
      <c r="G2" s="4" t="s">
        <v>5</v>
      </c>
      <c r="H2" s="2">
        <f ca="1">E2*$B$3+$B$2+RAND()*$B$4</f>
        <v>1491.6157460416464</v>
      </c>
      <c r="J2" t="s">
        <v>218</v>
      </c>
    </row>
    <row r="3" spans="1:15" x14ac:dyDescent="0.35">
      <c r="A3" s="1" t="s">
        <v>3</v>
      </c>
      <c r="B3" s="2">
        <v>7</v>
      </c>
      <c r="C3" s="4" t="s">
        <v>10</v>
      </c>
      <c r="D3" s="4" t="s">
        <v>5</v>
      </c>
      <c r="E3" s="4">
        <v>780</v>
      </c>
      <c r="F3" s="4"/>
      <c r="G3" s="4" t="s">
        <v>5</v>
      </c>
      <c r="H3" s="2">
        <f t="shared" ref="H3:H66" ca="1" si="0">E3*$B$3+$B$2+RAND()*$B$4</f>
        <v>5467.1223102077847</v>
      </c>
      <c r="J3" t="s">
        <v>219</v>
      </c>
    </row>
    <row r="4" spans="1:15" x14ac:dyDescent="0.35">
      <c r="A4" s="1" t="s">
        <v>4</v>
      </c>
      <c r="B4" s="2">
        <v>3</v>
      </c>
      <c r="C4" s="4" t="s">
        <v>11</v>
      </c>
      <c r="D4" s="4" t="s">
        <v>5</v>
      </c>
      <c r="E4" s="4">
        <v>280</v>
      </c>
      <c r="F4" s="4"/>
      <c r="G4" s="4" t="s">
        <v>5</v>
      </c>
      <c r="H4" s="2">
        <f t="shared" ca="1" si="0"/>
        <v>1965.1640380702659</v>
      </c>
      <c r="J4" t="s">
        <v>220</v>
      </c>
    </row>
    <row r="5" spans="1:15" x14ac:dyDescent="0.35">
      <c r="C5" s="4" t="s">
        <v>12</v>
      </c>
      <c r="D5" s="4" t="s">
        <v>5</v>
      </c>
      <c r="E5" s="4">
        <v>888</v>
      </c>
      <c r="F5" s="4"/>
      <c r="G5" s="4" t="s">
        <v>5</v>
      </c>
      <c r="H5" s="2">
        <f t="shared" ca="1" si="0"/>
        <v>6222.9840611948493</v>
      </c>
      <c r="J5" t="s">
        <v>221</v>
      </c>
    </row>
    <row r="6" spans="1:15" x14ac:dyDescent="0.35">
      <c r="C6" s="4" t="s">
        <v>13</v>
      </c>
      <c r="D6" s="4" t="s">
        <v>5</v>
      </c>
      <c r="E6" s="4">
        <v>314</v>
      </c>
      <c r="F6" s="4"/>
      <c r="G6" s="4" t="s">
        <v>5</v>
      </c>
      <c r="H6" s="2">
        <f t="shared" ca="1" si="0"/>
        <v>2205.9247504048221</v>
      </c>
      <c r="J6" t="s">
        <v>222</v>
      </c>
    </row>
    <row r="7" spans="1:15" x14ac:dyDescent="0.35">
      <c r="C7" s="4" t="s">
        <v>14</v>
      </c>
      <c r="D7" s="4" t="s">
        <v>5</v>
      </c>
      <c r="E7" s="4">
        <v>780</v>
      </c>
      <c r="F7" s="4"/>
      <c r="G7" s="4" t="s">
        <v>5</v>
      </c>
      <c r="H7" s="2">
        <f t="shared" ca="1" si="0"/>
        <v>5466.6744809122629</v>
      </c>
    </row>
    <row r="8" spans="1:15" x14ac:dyDescent="0.35">
      <c r="C8" s="4" t="s">
        <v>15</v>
      </c>
      <c r="D8" s="4" t="s">
        <v>5</v>
      </c>
      <c r="E8" s="4">
        <v>993</v>
      </c>
      <c r="F8" s="4"/>
      <c r="G8" s="4" t="s">
        <v>5</v>
      </c>
      <c r="H8" s="2">
        <f t="shared" ca="1" si="0"/>
        <v>6956.87813733453</v>
      </c>
      <c r="I8" t="s">
        <v>223</v>
      </c>
    </row>
    <row r="9" spans="1:15" x14ac:dyDescent="0.35">
      <c r="C9" s="4" t="s">
        <v>16</v>
      </c>
      <c r="D9" s="4" t="s">
        <v>5</v>
      </c>
      <c r="E9" s="4">
        <v>326</v>
      </c>
      <c r="F9" s="4"/>
      <c r="G9" s="4" t="s">
        <v>5</v>
      </c>
      <c r="H9" s="2">
        <f t="shared" ca="1" si="0"/>
        <v>2287.2274125215772</v>
      </c>
      <c r="I9" t="s">
        <v>227</v>
      </c>
    </row>
    <row r="10" spans="1:15" x14ac:dyDescent="0.35">
      <c r="C10" s="4" t="s">
        <v>17</v>
      </c>
      <c r="D10" s="4" t="s">
        <v>5</v>
      </c>
      <c r="E10" s="4">
        <v>906</v>
      </c>
      <c r="F10" s="4"/>
      <c r="G10" s="4" t="s">
        <v>5</v>
      </c>
      <c r="H10" s="2">
        <f t="shared" ca="1" si="0"/>
        <v>6349.0646190782663</v>
      </c>
      <c r="I10" t="s">
        <v>225</v>
      </c>
    </row>
    <row r="11" spans="1:15" x14ac:dyDescent="0.35">
      <c r="C11" s="4" t="s">
        <v>18</v>
      </c>
      <c r="D11" s="4" t="s">
        <v>5</v>
      </c>
      <c r="E11" s="4">
        <v>790</v>
      </c>
      <c r="F11" s="4"/>
      <c r="G11" s="4" t="s">
        <v>5</v>
      </c>
      <c r="H11" s="2">
        <f t="shared" ca="1" si="0"/>
        <v>5535.5209918457267</v>
      </c>
    </row>
    <row r="12" spans="1:15" x14ac:dyDescent="0.35">
      <c r="C12" s="4" t="s">
        <v>19</v>
      </c>
      <c r="D12" s="4" t="s">
        <v>5</v>
      </c>
      <c r="E12" s="4">
        <v>127</v>
      </c>
      <c r="F12" s="4"/>
      <c r="G12" s="4" t="s">
        <v>5</v>
      </c>
      <c r="H12" s="2">
        <f t="shared" ca="1" si="0"/>
        <v>894.16977965668116</v>
      </c>
    </row>
    <row r="13" spans="1:15" x14ac:dyDescent="0.35">
      <c r="C13" s="4" t="s">
        <v>20</v>
      </c>
      <c r="D13" s="4" t="s">
        <v>5</v>
      </c>
      <c r="E13" s="4">
        <v>685</v>
      </c>
      <c r="F13" s="4"/>
      <c r="G13" s="4" t="s">
        <v>5</v>
      </c>
      <c r="H13" s="2">
        <f t="shared" ca="1" si="0"/>
        <v>4802.0616891130194</v>
      </c>
    </row>
    <row r="14" spans="1:15" x14ac:dyDescent="0.35">
      <c r="C14" s="4" t="s">
        <v>21</v>
      </c>
      <c r="D14" s="4" t="s">
        <v>5</v>
      </c>
      <c r="E14" s="4">
        <v>320</v>
      </c>
      <c r="F14" s="4"/>
      <c r="G14" s="4" t="s">
        <v>5</v>
      </c>
      <c r="H14" s="2">
        <f t="shared" ca="1" si="0"/>
        <v>2246.2248673263985</v>
      </c>
      <c r="I14" s="9" t="s">
        <v>6</v>
      </c>
      <c r="J14" s="9"/>
      <c r="K14" s="9"/>
      <c r="L14" s="9"/>
      <c r="M14" s="9"/>
      <c r="N14" s="9"/>
      <c r="O14" s="9"/>
    </row>
    <row r="15" spans="1:15" x14ac:dyDescent="0.35">
      <c r="C15" s="4" t="s">
        <v>22</v>
      </c>
      <c r="D15" s="4" t="s">
        <v>5</v>
      </c>
      <c r="E15" s="4">
        <v>658</v>
      </c>
      <c r="F15" s="4"/>
      <c r="G15" s="4" t="s">
        <v>5</v>
      </c>
      <c r="H15" s="2">
        <f t="shared" ca="1" si="0"/>
        <v>4611.5926591712505</v>
      </c>
      <c r="I15" s="9" t="s">
        <v>224</v>
      </c>
      <c r="J15" s="9"/>
      <c r="K15" s="9"/>
      <c r="L15" s="9"/>
      <c r="M15" s="9"/>
      <c r="N15" s="9"/>
      <c r="O15" s="9"/>
    </row>
    <row r="16" spans="1:15" x14ac:dyDescent="0.35">
      <c r="C16" s="4" t="s">
        <v>23</v>
      </c>
      <c r="D16" s="4" t="s">
        <v>5</v>
      </c>
      <c r="E16" s="4">
        <v>436</v>
      </c>
      <c r="F16" s="4"/>
      <c r="G16" s="4" t="s">
        <v>5</v>
      </c>
      <c r="H16" s="2">
        <f t="shared" ca="1" si="0"/>
        <v>3059.2501731019624</v>
      </c>
      <c r="I16" s="9" t="s">
        <v>7</v>
      </c>
      <c r="J16" s="9"/>
      <c r="K16" s="9"/>
      <c r="L16" s="9"/>
      <c r="M16" s="9"/>
      <c r="N16" s="9"/>
      <c r="O16" s="9"/>
    </row>
    <row r="17" spans="3:8" x14ac:dyDescent="0.35">
      <c r="C17" s="4" t="s">
        <v>24</v>
      </c>
      <c r="D17" s="4" t="s">
        <v>5</v>
      </c>
      <c r="E17" s="4">
        <v>686</v>
      </c>
      <c r="F17" s="4"/>
      <c r="G17" s="4" t="s">
        <v>5</v>
      </c>
      <c r="H17" s="2">
        <f t="shared" ca="1" si="0"/>
        <v>4808.6636647925525</v>
      </c>
    </row>
    <row r="18" spans="3:8" x14ac:dyDescent="0.35">
      <c r="C18" s="4" t="s">
        <v>25</v>
      </c>
      <c r="D18" s="4" t="s">
        <v>5</v>
      </c>
      <c r="E18" s="4">
        <v>797</v>
      </c>
      <c r="F18" s="4"/>
      <c r="G18" s="4" t="s">
        <v>5</v>
      </c>
      <c r="H18" s="2">
        <f t="shared" ca="1" si="0"/>
        <v>5585.2181270129531</v>
      </c>
    </row>
    <row r="19" spans="3:8" x14ac:dyDescent="0.35">
      <c r="C19" s="4" t="s">
        <v>26</v>
      </c>
      <c r="D19" s="4" t="s">
        <v>5</v>
      </c>
      <c r="E19" s="4">
        <v>464</v>
      </c>
      <c r="F19" s="4"/>
      <c r="G19" s="4" t="s">
        <v>5</v>
      </c>
      <c r="H19" s="2">
        <f t="shared" ca="1" si="0"/>
        <v>3254.0152920605315</v>
      </c>
    </row>
    <row r="20" spans="3:8" x14ac:dyDescent="0.35">
      <c r="C20" s="4" t="s">
        <v>27</v>
      </c>
      <c r="D20" s="4" t="s">
        <v>5</v>
      </c>
      <c r="E20" s="4">
        <v>514</v>
      </c>
      <c r="F20" s="4"/>
      <c r="G20" s="4" t="s">
        <v>5</v>
      </c>
      <c r="H20" s="2">
        <f t="shared" ca="1" si="0"/>
        <v>3605.504587035216</v>
      </c>
    </row>
    <row r="21" spans="3:8" x14ac:dyDescent="0.35">
      <c r="C21" s="4" t="s">
        <v>28</v>
      </c>
      <c r="D21" s="4" t="s">
        <v>5</v>
      </c>
      <c r="E21" s="4">
        <v>724</v>
      </c>
      <c r="F21" s="4"/>
      <c r="G21" s="4" t="s">
        <v>5</v>
      </c>
      <c r="H21" s="2">
        <f t="shared" ca="1" si="0"/>
        <v>5075.4201692723891</v>
      </c>
    </row>
    <row r="22" spans="3:8" x14ac:dyDescent="0.35">
      <c r="C22" s="4" t="s">
        <v>29</v>
      </c>
      <c r="D22" s="4" t="s">
        <v>5</v>
      </c>
      <c r="E22" s="4">
        <v>63</v>
      </c>
      <c r="F22" s="4"/>
      <c r="G22" s="4" t="s">
        <v>5</v>
      </c>
      <c r="H22" s="2">
        <f t="shared" ca="1" si="0"/>
        <v>447.99895167645855</v>
      </c>
    </row>
    <row r="23" spans="3:8" x14ac:dyDescent="0.35">
      <c r="C23" s="4" t="s">
        <v>30</v>
      </c>
      <c r="D23" s="4" t="s">
        <v>5</v>
      </c>
      <c r="E23" s="4">
        <v>298</v>
      </c>
      <c r="F23" s="4"/>
      <c r="G23" s="4" t="s">
        <v>5</v>
      </c>
      <c r="H23" s="2">
        <f t="shared" ca="1" si="0"/>
        <v>2093.3637087302423</v>
      </c>
    </row>
    <row r="24" spans="3:8" x14ac:dyDescent="0.35">
      <c r="C24" s="4" t="s">
        <v>31</v>
      </c>
      <c r="D24" s="4" t="s">
        <v>5</v>
      </c>
      <c r="E24" s="4">
        <v>689</v>
      </c>
      <c r="F24" s="4"/>
      <c r="G24" s="4" t="s">
        <v>5</v>
      </c>
      <c r="H24" s="2">
        <f t="shared" ca="1" si="0"/>
        <v>4828.3954641585924</v>
      </c>
    </row>
    <row r="25" spans="3:8" x14ac:dyDescent="0.35">
      <c r="C25" s="4" t="s">
        <v>32</v>
      </c>
      <c r="D25" s="4" t="s">
        <v>5</v>
      </c>
      <c r="E25" s="4">
        <v>278</v>
      </c>
      <c r="F25" s="4"/>
      <c r="G25" s="4" t="s">
        <v>5</v>
      </c>
      <c r="H25" s="2">
        <f t="shared" ca="1" si="0"/>
        <v>1951.5008864607182</v>
      </c>
    </row>
    <row r="26" spans="3:8" x14ac:dyDescent="0.35">
      <c r="C26" s="4" t="s">
        <v>33</v>
      </c>
      <c r="D26" s="4" t="s">
        <v>5</v>
      </c>
      <c r="E26" s="4">
        <v>701</v>
      </c>
      <c r="F26" s="4"/>
      <c r="G26" s="4" t="s">
        <v>5</v>
      </c>
      <c r="H26" s="2">
        <f t="shared" ca="1" si="0"/>
        <v>4913.9026443301036</v>
      </c>
    </row>
    <row r="27" spans="3:8" x14ac:dyDescent="0.35">
      <c r="C27" s="4" t="s">
        <v>34</v>
      </c>
      <c r="D27" s="4" t="s">
        <v>5</v>
      </c>
      <c r="E27" s="4">
        <v>219</v>
      </c>
      <c r="F27" s="4"/>
      <c r="G27" s="4" t="s">
        <v>5</v>
      </c>
      <c r="H27" s="2">
        <f t="shared" ca="1" si="0"/>
        <v>1540.0853722110676</v>
      </c>
    </row>
    <row r="28" spans="3:8" x14ac:dyDescent="0.35">
      <c r="C28" s="4" t="s">
        <v>35</v>
      </c>
      <c r="D28" s="4" t="s">
        <v>5</v>
      </c>
      <c r="E28" s="4">
        <v>666</v>
      </c>
      <c r="F28" s="4"/>
      <c r="G28" s="4" t="s">
        <v>5</v>
      </c>
      <c r="H28" s="2">
        <f t="shared" ca="1" si="0"/>
        <v>4669.4162623467628</v>
      </c>
    </row>
    <row r="29" spans="3:8" x14ac:dyDescent="0.35">
      <c r="C29" s="4" t="s">
        <v>36</v>
      </c>
      <c r="D29" s="4" t="s">
        <v>5</v>
      </c>
      <c r="E29" s="4">
        <v>92</v>
      </c>
      <c r="F29" s="4"/>
      <c r="G29" s="4" t="s">
        <v>5</v>
      </c>
      <c r="H29" s="2">
        <f t="shared" ca="1" si="0"/>
        <v>650.58319615940786</v>
      </c>
    </row>
    <row r="30" spans="3:8" x14ac:dyDescent="0.35">
      <c r="C30" s="4" t="s">
        <v>37</v>
      </c>
      <c r="D30" s="4" t="s">
        <v>5</v>
      </c>
      <c r="E30" s="4">
        <v>250</v>
      </c>
      <c r="F30" s="4"/>
      <c r="G30" s="4" t="s">
        <v>5</v>
      </c>
      <c r="H30" s="2">
        <f t="shared" ca="1" si="0"/>
        <v>1756.9650822075137</v>
      </c>
    </row>
    <row r="31" spans="3:8" x14ac:dyDescent="0.35">
      <c r="C31" s="4" t="s">
        <v>38</v>
      </c>
      <c r="D31" s="4" t="s">
        <v>5</v>
      </c>
      <c r="E31" s="4">
        <v>252</v>
      </c>
      <c r="F31" s="4"/>
      <c r="G31" s="4" t="s">
        <v>5</v>
      </c>
      <c r="H31" s="2">
        <f t="shared" ca="1" si="0"/>
        <v>1770.9273188569225</v>
      </c>
    </row>
    <row r="32" spans="3:8" x14ac:dyDescent="0.35">
      <c r="C32" s="4" t="s">
        <v>39</v>
      </c>
      <c r="D32" s="4" t="s">
        <v>5</v>
      </c>
      <c r="E32" s="4">
        <v>110</v>
      </c>
      <c r="F32" s="4"/>
      <c r="G32" s="4" t="s">
        <v>5</v>
      </c>
      <c r="H32" s="2">
        <f t="shared" ca="1" si="0"/>
        <v>775.013866569681</v>
      </c>
    </row>
    <row r="33" spans="3:8" x14ac:dyDescent="0.35">
      <c r="C33" s="4" t="s">
        <v>40</v>
      </c>
      <c r="D33" s="4" t="s">
        <v>5</v>
      </c>
      <c r="E33" s="4">
        <v>185</v>
      </c>
      <c r="F33" s="4"/>
      <c r="G33" s="4" t="s">
        <v>5</v>
      </c>
      <c r="H33" s="2">
        <f t="shared" ca="1" si="0"/>
        <v>1300.0005566936986</v>
      </c>
    </row>
    <row r="34" spans="3:8" x14ac:dyDescent="0.35">
      <c r="C34" s="4" t="s">
        <v>41</v>
      </c>
      <c r="D34" s="4" t="s">
        <v>5</v>
      </c>
      <c r="E34" s="4">
        <v>281</v>
      </c>
      <c r="F34" s="4"/>
      <c r="G34" s="4" t="s">
        <v>5</v>
      </c>
      <c r="H34" s="2">
        <f t="shared" ca="1" si="0"/>
        <v>1974.9577753962337</v>
      </c>
    </row>
    <row r="35" spans="3:8" x14ac:dyDescent="0.35">
      <c r="C35" s="4" t="s">
        <v>42</v>
      </c>
      <c r="D35" s="4" t="s">
        <v>5</v>
      </c>
      <c r="E35" s="4">
        <v>315</v>
      </c>
      <c r="F35" s="4"/>
      <c r="G35" s="4" t="s">
        <v>5</v>
      </c>
      <c r="H35" s="2">
        <f t="shared" ca="1" si="0"/>
        <v>2212.7304180936853</v>
      </c>
    </row>
    <row r="36" spans="3:8" x14ac:dyDescent="0.35">
      <c r="C36" s="4" t="s">
        <v>43</v>
      </c>
      <c r="D36" s="4" t="s">
        <v>5</v>
      </c>
      <c r="E36" s="4">
        <v>883</v>
      </c>
      <c r="F36" s="4"/>
      <c r="G36" s="4" t="s">
        <v>5</v>
      </c>
      <c r="H36" s="2">
        <f t="shared" ca="1" si="0"/>
        <v>6186.0957833106195</v>
      </c>
    </row>
    <row r="37" spans="3:8" x14ac:dyDescent="0.35">
      <c r="C37" s="4" t="s">
        <v>44</v>
      </c>
      <c r="D37" s="4" t="s">
        <v>5</v>
      </c>
      <c r="E37" s="4">
        <v>75</v>
      </c>
      <c r="F37" s="4"/>
      <c r="G37" s="4" t="s">
        <v>5</v>
      </c>
      <c r="H37" s="2">
        <f t="shared" ca="1" si="0"/>
        <v>530.38314676219932</v>
      </c>
    </row>
    <row r="38" spans="3:8" x14ac:dyDescent="0.35">
      <c r="C38" s="4" t="s">
        <v>45</v>
      </c>
      <c r="D38" s="4" t="s">
        <v>5</v>
      </c>
      <c r="E38" s="4">
        <v>763</v>
      </c>
      <c r="F38" s="4"/>
      <c r="G38" s="4" t="s">
        <v>5</v>
      </c>
      <c r="H38" s="2">
        <f t="shared" ca="1" si="0"/>
        <v>5347.6871576132444</v>
      </c>
    </row>
    <row r="39" spans="3:8" x14ac:dyDescent="0.35">
      <c r="C39" s="4" t="s">
        <v>46</v>
      </c>
      <c r="D39" s="4" t="s">
        <v>5</v>
      </c>
      <c r="E39" s="4">
        <v>438</v>
      </c>
      <c r="F39" s="4"/>
      <c r="G39" s="4" t="s">
        <v>5</v>
      </c>
      <c r="H39" s="2">
        <f t="shared" ca="1" si="0"/>
        <v>3071.7814456541755</v>
      </c>
    </row>
    <row r="40" spans="3:8" x14ac:dyDescent="0.35">
      <c r="C40" s="4" t="s">
        <v>47</v>
      </c>
      <c r="D40" s="4" t="s">
        <v>5</v>
      </c>
      <c r="E40" s="4">
        <v>752</v>
      </c>
      <c r="F40" s="4"/>
      <c r="G40" s="4" t="s">
        <v>5</v>
      </c>
      <c r="H40" s="2">
        <f t="shared" ca="1" si="0"/>
        <v>5271.3508841218572</v>
      </c>
    </row>
    <row r="41" spans="3:8" x14ac:dyDescent="0.35">
      <c r="C41" s="4" t="s">
        <v>48</v>
      </c>
      <c r="D41" s="4" t="s">
        <v>5</v>
      </c>
      <c r="E41" s="4">
        <v>607</v>
      </c>
      <c r="F41" s="4"/>
      <c r="G41" s="4" t="s">
        <v>5</v>
      </c>
      <c r="H41" s="2">
        <f t="shared" ca="1" si="0"/>
        <v>4256.767879025756</v>
      </c>
    </row>
    <row r="42" spans="3:8" x14ac:dyDescent="0.35">
      <c r="C42" s="4" t="s">
        <v>49</v>
      </c>
      <c r="D42" s="4" t="s">
        <v>5</v>
      </c>
      <c r="E42" s="4">
        <v>733</v>
      </c>
      <c r="F42" s="4"/>
      <c r="G42" s="4" t="s">
        <v>5</v>
      </c>
      <c r="H42" s="2">
        <f t="shared" ca="1" si="0"/>
        <v>5137.5176594794784</v>
      </c>
    </row>
    <row r="43" spans="3:8" x14ac:dyDescent="0.35">
      <c r="C43" s="4" t="s">
        <v>50</v>
      </c>
      <c r="D43" s="4" t="s">
        <v>5</v>
      </c>
      <c r="E43" s="4">
        <v>526</v>
      </c>
      <c r="F43" s="4"/>
      <c r="G43" s="4" t="s">
        <v>5</v>
      </c>
      <c r="H43" s="2">
        <f t="shared" ca="1" si="0"/>
        <v>3688.9200671997928</v>
      </c>
    </row>
    <row r="44" spans="3:8" x14ac:dyDescent="0.35">
      <c r="C44" s="4" t="s">
        <v>51</v>
      </c>
      <c r="D44" s="4" t="s">
        <v>5</v>
      </c>
      <c r="E44" s="4">
        <v>270</v>
      </c>
      <c r="F44" s="4"/>
      <c r="G44" s="4" t="s">
        <v>5</v>
      </c>
      <c r="H44" s="2">
        <f t="shared" ca="1" si="0"/>
        <v>1897.627294086185</v>
      </c>
    </row>
    <row r="45" spans="3:8" x14ac:dyDescent="0.35">
      <c r="C45" s="4" t="s">
        <v>52</v>
      </c>
      <c r="D45" s="4" t="s">
        <v>5</v>
      </c>
      <c r="E45" s="4">
        <v>728</v>
      </c>
      <c r="F45" s="4"/>
      <c r="G45" s="4" t="s">
        <v>5</v>
      </c>
      <c r="H45" s="2">
        <f t="shared" ca="1" si="0"/>
        <v>5101.0147715551493</v>
      </c>
    </row>
    <row r="46" spans="3:8" x14ac:dyDescent="0.35">
      <c r="C46" s="4" t="s">
        <v>53</v>
      </c>
      <c r="D46" s="4" t="s">
        <v>5</v>
      </c>
      <c r="E46" s="4">
        <v>643</v>
      </c>
      <c r="F46" s="4"/>
      <c r="G46" s="4" t="s">
        <v>5</v>
      </c>
      <c r="H46" s="2">
        <f t="shared" ca="1" si="0"/>
        <v>4507.5900100672452</v>
      </c>
    </row>
    <row r="47" spans="3:8" x14ac:dyDescent="0.35">
      <c r="C47" s="4" t="s">
        <v>54</v>
      </c>
      <c r="D47" s="4" t="s">
        <v>5</v>
      </c>
      <c r="E47" s="4">
        <v>847</v>
      </c>
      <c r="F47" s="4"/>
      <c r="G47" s="4" t="s">
        <v>5</v>
      </c>
      <c r="H47" s="2">
        <f t="shared" ca="1" si="0"/>
        <v>5935.477784698327</v>
      </c>
    </row>
    <row r="48" spans="3:8" x14ac:dyDescent="0.35">
      <c r="C48" s="4" t="s">
        <v>55</v>
      </c>
      <c r="D48" s="4" t="s">
        <v>5</v>
      </c>
      <c r="E48" s="4">
        <v>980</v>
      </c>
      <c r="F48" s="4"/>
      <c r="G48" s="4" t="s">
        <v>5</v>
      </c>
      <c r="H48" s="2">
        <f t="shared" ca="1" si="0"/>
        <v>6867.152929107212</v>
      </c>
    </row>
    <row r="49" spans="3:8" x14ac:dyDescent="0.35">
      <c r="C49" s="4" t="s">
        <v>56</v>
      </c>
      <c r="D49" s="4" t="s">
        <v>5</v>
      </c>
      <c r="E49" s="4">
        <v>337</v>
      </c>
      <c r="F49" s="4"/>
      <c r="G49" s="4" t="s">
        <v>5</v>
      </c>
      <c r="H49" s="2">
        <f t="shared" ca="1" si="0"/>
        <v>2364.8349741760399</v>
      </c>
    </row>
    <row r="50" spans="3:8" x14ac:dyDescent="0.35">
      <c r="C50" s="4" t="s">
        <v>57</v>
      </c>
      <c r="D50" s="4" t="s">
        <v>5</v>
      </c>
      <c r="E50" s="4">
        <v>972</v>
      </c>
      <c r="F50" s="4"/>
      <c r="G50" s="4" t="s">
        <v>5</v>
      </c>
      <c r="H50" s="2">
        <f t="shared" ca="1" si="0"/>
        <v>6810.7709679843474</v>
      </c>
    </row>
    <row r="51" spans="3:8" x14ac:dyDescent="0.35">
      <c r="C51" s="4" t="s">
        <v>58</v>
      </c>
      <c r="D51" s="4" t="s">
        <v>5</v>
      </c>
      <c r="E51" s="4">
        <v>174</v>
      </c>
      <c r="F51" s="4"/>
      <c r="G51" s="4" t="s">
        <v>5</v>
      </c>
      <c r="H51" s="2">
        <f t="shared" ca="1" si="0"/>
        <v>1223.153370122064</v>
      </c>
    </row>
    <row r="52" spans="3:8" x14ac:dyDescent="0.35">
      <c r="C52" s="4" t="s">
        <v>59</v>
      </c>
      <c r="D52" s="4" t="s">
        <v>5</v>
      </c>
      <c r="E52" s="4">
        <v>227</v>
      </c>
      <c r="F52" s="4"/>
      <c r="G52" s="4" t="s">
        <v>5</v>
      </c>
      <c r="H52" s="2">
        <f t="shared" ca="1" si="0"/>
        <v>1594.3890332669494</v>
      </c>
    </row>
    <row r="53" spans="3:8" x14ac:dyDescent="0.35">
      <c r="C53" s="4" t="s">
        <v>60</v>
      </c>
      <c r="D53" s="4" t="s">
        <v>5</v>
      </c>
      <c r="E53" s="4">
        <v>271</v>
      </c>
      <c r="F53" s="4"/>
      <c r="G53" s="4" t="s">
        <v>5</v>
      </c>
      <c r="H53" s="2">
        <f t="shared" ca="1" si="0"/>
        <v>1903.910408591812</v>
      </c>
    </row>
    <row r="54" spans="3:8" x14ac:dyDescent="0.35">
      <c r="C54" s="4" t="s">
        <v>61</v>
      </c>
      <c r="D54" s="4" t="s">
        <v>5</v>
      </c>
      <c r="E54" s="4">
        <v>323</v>
      </c>
      <c r="F54" s="4"/>
      <c r="G54" s="4" t="s">
        <v>5</v>
      </c>
      <c r="H54" s="2">
        <f t="shared" ca="1" si="0"/>
        <v>2268.6171417028663</v>
      </c>
    </row>
    <row r="55" spans="3:8" x14ac:dyDescent="0.35">
      <c r="C55" s="4" t="s">
        <v>62</v>
      </c>
      <c r="D55" s="4" t="s">
        <v>5</v>
      </c>
      <c r="E55" s="4">
        <v>383</v>
      </c>
      <c r="F55" s="4"/>
      <c r="G55" s="4" t="s">
        <v>5</v>
      </c>
      <c r="H55" s="2">
        <f t="shared" ca="1" si="0"/>
        <v>2687.1468609258204</v>
      </c>
    </row>
    <row r="56" spans="3:8" x14ac:dyDescent="0.35">
      <c r="C56" s="4" t="s">
        <v>63</v>
      </c>
      <c r="D56" s="4" t="s">
        <v>5</v>
      </c>
      <c r="E56" s="4">
        <v>294</v>
      </c>
      <c r="F56" s="4"/>
      <c r="G56" s="4" t="s">
        <v>5</v>
      </c>
      <c r="H56" s="2">
        <f t="shared" ca="1" si="0"/>
        <v>2063.4368122413903</v>
      </c>
    </row>
    <row r="57" spans="3:8" x14ac:dyDescent="0.35">
      <c r="C57" s="4" t="s">
        <v>64</v>
      </c>
      <c r="D57" s="4" t="s">
        <v>5</v>
      </c>
      <c r="E57" s="4">
        <v>331</v>
      </c>
      <c r="F57" s="4"/>
      <c r="G57" s="4" t="s">
        <v>5</v>
      </c>
      <c r="H57" s="2">
        <f t="shared" ca="1" si="0"/>
        <v>2324.2229815953788</v>
      </c>
    </row>
    <row r="58" spans="3:8" x14ac:dyDescent="0.35">
      <c r="C58" s="4" t="s">
        <v>65</v>
      </c>
      <c r="D58" s="4" t="s">
        <v>5</v>
      </c>
      <c r="E58" s="4">
        <v>908</v>
      </c>
      <c r="F58" s="4"/>
      <c r="G58" s="4" t="s">
        <v>5</v>
      </c>
      <c r="H58" s="2">
        <f t="shared" ca="1" si="0"/>
        <v>6361.7538585602715</v>
      </c>
    </row>
    <row r="59" spans="3:8" x14ac:dyDescent="0.35">
      <c r="C59" s="4" t="s">
        <v>66</v>
      </c>
      <c r="D59" s="4" t="s">
        <v>5</v>
      </c>
      <c r="E59" s="4">
        <v>152</v>
      </c>
      <c r="F59" s="4"/>
      <c r="G59" s="4" t="s">
        <v>5</v>
      </c>
      <c r="H59" s="2">
        <f t="shared" ca="1" si="0"/>
        <v>1070.6958417836461</v>
      </c>
    </row>
    <row r="60" spans="3:8" x14ac:dyDescent="0.35">
      <c r="C60" s="4" t="s">
        <v>67</v>
      </c>
      <c r="D60" s="4" t="s">
        <v>5</v>
      </c>
      <c r="E60" s="4">
        <v>593</v>
      </c>
      <c r="F60" s="4"/>
      <c r="G60" s="4" t="s">
        <v>5</v>
      </c>
      <c r="H60" s="2">
        <f t="shared" ca="1" si="0"/>
        <v>4156.5206259652768</v>
      </c>
    </row>
    <row r="61" spans="3:8" x14ac:dyDescent="0.35">
      <c r="C61" s="4" t="s">
        <v>68</v>
      </c>
      <c r="D61" s="4" t="s">
        <v>5</v>
      </c>
      <c r="E61" s="4">
        <v>392</v>
      </c>
      <c r="F61" s="4"/>
      <c r="G61" s="4" t="s">
        <v>5</v>
      </c>
      <c r="H61" s="2">
        <f t="shared" ca="1" si="0"/>
        <v>2749.0732639550665</v>
      </c>
    </row>
    <row r="62" spans="3:8" x14ac:dyDescent="0.35">
      <c r="C62" s="4" t="s">
        <v>69</v>
      </c>
      <c r="D62" s="4" t="s">
        <v>5</v>
      </c>
      <c r="E62" s="4">
        <v>407</v>
      </c>
      <c r="F62" s="4"/>
      <c r="G62" s="4" t="s">
        <v>5</v>
      </c>
      <c r="H62" s="2">
        <f t="shared" ca="1" si="0"/>
        <v>2855.9796069496715</v>
      </c>
    </row>
    <row r="63" spans="3:8" x14ac:dyDescent="0.35">
      <c r="C63" s="4" t="s">
        <v>70</v>
      </c>
      <c r="D63" s="4" t="s">
        <v>5</v>
      </c>
      <c r="E63" s="4">
        <v>211</v>
      </c>
      <c r="F63" s="4"/>
      <c r="G63" s="4" t="s">
        <v>5</v>
      </c>
      <c r="H63" s="2">
        <f t="shared" ca="1" si="0"/>
        <v>1483.6928301862292</v>
      </c>
    </row>
    <row r="64" spans="3:8" x14ac:dyDescent="0.35">
      <c r="C64" s="4" t="s">
        <v>71</v>
      </c>
      <c r="D64" s="4" t="s">
        <v>5</v>
      </c>
      <c r="E64" s="4">
        <v>942</v>
      </c>
      <c r="F64" s="4"/>
      <c r="G64" s="4" t="s">
        <v>5</v>
      </c>
      <c r="H64" s="2">
        <f t="shared" ca="1" si="0"/>
        <v>6599.329648293151</v>
      </c>
    </row>
    <row r="65" spans="3:8" x14ac:dyDescent="0.35">
      <c r="C65" s="4" t="s">
        <v>72</v>
      </c>
      <c r="D65" s="4" t="s">
        <v>5</v>
      </c>
      <c r="E65" s="4">
        <v>785</v>
      </c>
      <c r="F65" s="4"/>
      <c r="G65" s="4" t="s">
        <v>5</v>
      </c>
      <c r="H65" s="2">
        <f t="shared" ca="1" si="0"/>
        <v>5502.2644825245043</v>
      </c>
    </row>
    <row r="66" spans="3:8" x14ac:dyDescent="0.35">
      <c r="C66" s="4" t="s">
        <v>73</v>
      </c>
      <c r="D66" s="4" t="s">
        <v>5</v>
      </c>
      <c r="E66" s="4">
        <v>896</v>
      </c>
      <c r="F66" s="4"/>
      <c r="G66" s="4" t="s">
        <v>5</v>
      </c>
      <c r="H66" s="2">
        <f t="shared" ca="1" si="0"/>
        <v>6277.1055647597359</v>
      </c>
    </row>
    <row r="67" spans="3:8" x14ac:dyDescent="0.35">
      <c r="C67" s="4" t="s">
        <v>74</v>
      </c>
      <c r="D67" s="4" t="s">
        <v>5</v>
      </c>
      <c r="E67" s="4">
        <v>920</v>
      </c>
      <c r="F67" s="4"/>
      <c r="G67" s="4" t="s">
        <v>5</v>
      </c>
      <c r="H67" s="2">
        <f t="shared" ref="H67:H101" ca="1" si="1">E67*$B$3+$B$2+RAND()*$B$4</f>
        <v>6446.6890498683933</v>
      </c>
    </row>
    <row r="68" spans="3:8" x14ac:dyDescent="0.35">
      <c r="C68" s="4" t="s">
        <v>75</v>
      </c>
      <c r="D68" s="4" t="s">
        <v>5</v>
      </c>
      <c r="E68" s="4">
        <v>147</v>
      </c>
      <c r="F68" s="4"/>
      <c r="G68" s="4" t="s">
        <v>5</v>
      </c>
      <c r="H68" s="2">
        <f t="shared" ca="1" si="1"/>
        <v>1036.5501250106727</v>
      </c>
    </row>
    <row r="69" spans="3:8" x14ac:dyDescent="0.35">
      <c r="C69" s="4" t="s">
        <v>76</v>
      </c>
      <c r="D69" s="4" t="s">
        <v>5</v>
      </c>
      <c r="E69" s="4">
        <v>712</v>
      </c>
      <c r="F69" s="4"/>
      <c r="G69" s="4" t="s">
        <v>5</v>
      </c>
      <c r="H69" s="2">
        <f t="shared" ca="1" si="1"/>
        <v>4989.5233531131962</v>
      </c>
    </row>
    <row r="70" spans="3:8" x14ac:dyDescent="0.35">
      <c r="C70" s="4" t="s">
        <v>77</v>
      </c>
      <c r="D70" s="4" t="s">
        <v>5</v>
      </c>
      <c r="E70" s="4">
        <v>418</v>
      </c>
      <c r="F70" s="4"/>
      <c r="G70" s="4" t="s">
        <v>5</v>
      </c>
      <c r="H70" s="2">
        <f t="shared" ca="1" si="1"/>
        <v>2932.6202370048632</v>
      </c>
    </row>
    <row r="71" spans="3:8" x14ac:dyDescent="0.35">
      <c r="C71" s="4" t="s">
        <v>78</v>
      </c>
      <c r="D71" s="4" t="s">
        <v>5</v>
      </c>
      <c r="E71" s="4">
        <v>876</v>
      </c>
      <c r="F71" s="4"/>
      <c r="G71" s="4" t="s">
        <v>5</v>
      </c>
      <c r="H71" s="2">
        <f t="shared" ca="1" si="1"/>
        <v>6138.5791854768167</v>
      </c>
    </row>
    <row r="72" spans="3:8" x14ac:dyDescent="0.35">
      <c r="C72" s="4" t="s">
        <v>79</v>
      </c>
      <c r="D72" s="4" t="s">
        <v>5</v>
      </c>
      <c r="E72" s="4">
        <v>757</v>
      </c>
      <c r="F72" s="4"/>
      <c r="G72" s="4" t="s">
        <v>5</v>
      </c>
      <c r="H72" s="2">
        <f t="shared" ca="1" si="1"/>
        <v>5304.1444574806173</v>
      </c>
    </row>
    <row r="73" spans="3:8" x14ac:dyDescent="0.35">
      <c r="C73" s="4" t="s">
        <v>80</v>
      </c>
      <c r="D73" s="4" t="s">
        <v>5</v>
      </c>
      <c r="E73" s="4">
        <v>670</v>
      </c>
      <c r="F73" s="4"/>
      <c r="G73" s="4" t="s">
        <v>5</v>
      </c>
      <c r="H73" s="2">
        <f t="shared" ca="1" si="1"/>
        <v>4696.3743843050233</v>
      </c>
    </row>
    <row r="74" spans="3:8" x14ac:dyDescent="0.35">
      <c r="C74" s="4" t="s">
        <v>81</v>
      </c>
      <c r="D74" s="4" t="s">
        <v>5</v>
      </c>
      <c r="E74" s="4">
        <v>823</v>
      </c>
      <c r="F74" s="4"/>
      <c r="G74" s="4" t="s">
        <v>5</v>
      </c>
      <c r="H74" s="2">
        <f t="shared" ca="1" si="1"/>
        <v>5768.9115378221404</v>
      </c>
    </row>
    <row r="75" spans="3:8" x14ac:dyDescent="0.35">
      <c r="C75" s="4" t="s">
        <v>82</v>
      </c>
      <c r="D75" s="4" t="s">
        <v>5</v>
      </c>
      <c r="E75" s="4">
        <v>634</v>
      </c>
      <c r="F75" s="4"/>
      <c r="G75" s="4" t="s">
        <v>5</v>
      </c>
      <c r="H75" s="2">
        <f t="shared" ca="1" si="1"/>
        <v>4445.5661655438998</v>
      </c>
    </row>
    <row r="76" spans="3:8" x14ac:dyDescent="0.35">
      <c r="C76" s="4" t="s">
        <v>83</v>
      </c>
      <c r="D76" s="4" t="s">
        <v>5</v>
      </c>
      <c r="E76" s="4">
        <v>407</v>
      </c>
      <c r="F76" s="4"/>
      <c r="G76" s="4" t="s">
        <v>5</v>
      </c>
      <c r="H76" s="2">
        <f t="shared" ca="1" si="1"/>
        <v>2854.025353555508</v>
      </c>
    </row>
    <row r="77" spans="3:8" x14ac:dyDescent="0.35">
      <c r="C77" s="4" t="s">
        <v>84</v>
      </c>
      <c r="D77" s="4" t="s">
        <v>5</v>
      </c>
      <c r="E77" s="4">
        <v>923</v>
      </c>
      <c r="F77" s="4"/>
      <c r="G77" s="4" t="s">
        <v>5</v>
      </c>
      <c r="H77" s="2">
        <f t="shared" ca="1" si="1"/>
        <v>6467.4121476943028</v>
      </c>
    </row>
    <row r="78" spans="3:8" x14ac:dyDescent="0.35">
      <c r="C78" s="4" t="s">
        <v>85</v>
      </c>
      <c r="D78" s="4" t="s">
        <v>5</v>
      </c>
      <c r="E78" s="4">
        <v>235</v>
      </c>
      <c r="F78" s="4"/>
      <c r="G78" s="4" t="s">
        <v>5</v>
      </c>
      <c r="H78" s="2">
        <f t="shared" ca="1" si="1"/>
        <v>1651.9785691203492</v>
      </c>
    </row>
    <row r="79" spans="3:8" x14ac:dyDescent="0.35">
      <c r="C79" s="4" t="s">
        <v>86</v>
      </c>
      <c r="D79" s="4" t="s">
        <v>5</v>
      </c>
      <c r="E79" s="4">
        <v>314</v>
      </c>
      <c r="F79" s="4"/>
      <c r="G79" s="4" t="s">
        <v>5</v>
      </c>
      <c r="H79" s="2">
        <f t="shared" ca="1" si="1"/>
        <v>2205.7034753689964</v>
      </c>
    </row>
    <row r="80" spans="3:8" x14ac:dyDescent="0.35">
      <c r="C80" s="4" t="s">
        <v>87</v>
      </c>
      <c r="D80" s="4" t="s">
        <v>5</v>
      </c>
      <c r="E80" s="4">
        <v>911</v>
      </c>
      <c r="F80" s="4"/>
      <c r="G80" s="4" t="s">
        <v>5</v>
      </c>
      <c r="H80" s="2">
        <f t="shared" ca="1" si="1"/>
        <v>6382.0118915576168</v>
      </c>
    </row>
    <row r="81" spans="3:8" x14ac:dyDescent="0.35">
      <c r="C81" s="4" t="s">
        <v>88</v>
      </c>
      <c r="D81" s="4" t="s">
        <v>5</v>
      </c>
      <c r="E81" s="4">
        <v>273</v>
      </c>
      <c r="F81" s="4"/>
      <c r="G81" s="4" t="s">
        <v>5</v>
      </c>
      <c r="H81" s="2">
        <f t="shared" ca="1" si="1"/>
        <v>1916.506354623398</v>
      </c>
    </row>
    <row r="82" spans="3:8" x14ac:dyDescent="0.35">
      <c r="C82" s="4" t="s">
        <v>89</v>
      </c>
      <c r="D82" s="4" t="s">
        <v>5</v>
      </c>
      <c r="E82" s="4">
        <v>403</v>
      </c>
      <c r="F82" s="4"/>
      <c r="G82" s="4" t="s">
        <v>5</v>
      </c>
      <c r="H82" s="2">
        <f t="shared" ca="1" si="1"/>
        <v>2826.1076386851187</v>
      </c>
    </row>
    <row r="83" spans="3:8" x14ac:dyDescent="0.35">
      <c r="C83" s="4" t="s">
        <v>90</v>
      </c>
      <c r="D83" s="4" t="s">
        <v>5</v>
      </c>
      <c r="E83" s="4">
        <v>692</v>
      </c>
      <c r="F83" s="4"/>
      <c r="G83" s="4" t="s">
        <v>5</v>
      </c>
      <c r="H83" s="2">
        <f t="shared" ca="1" si="1"/>
        <v>4849.9629062754748</v>
      </c>
    </row>
    <row r="84" spans="3:8" x14ac:dyDescent="0.35">
      <c r="C84" s="4" t="s">
        <v>91</v>
      </c>
      <c r="D84" s="4" t="s">
        <v>5</v>
      </c>
      <c r="E84" s="4">
        <v>429</v>
      </c>
      <c r="F84" s="4"/>
      <c r="G84" s="4" t="s">
        <v>5</v>
      </c>
      <c r="H84" s="2">
        <f t="shared" ca="1" si="1"/>
        <v>3009.5331837095891</v>
      </c>
    </row>
    <row r="85" spans="3:8" x14ac:dyDescent="0.35">
      <c r="C85" s="4" t="s">
        <v>92</v>
      </c>
      <c r="D85" s="4" t="s">
        <v>5</v>
      </c>
      <c r="E85" s="4">
        <v>902</v>
      </c>
      <c r="F85" s="4"/>
      <c r="G85" s="4" t="s">
        <v>5</v>
      </c>
      <c r="H85" s="2">
        <f t="shared" ca="1" si="1"/>
        <v>6321.0730165790928</v>
      </c>
    </row>
    <row r="86" spans="3:8" x14ac:dyDescent="0.35">
      <c r="C86" s="4" t="s">
        <v>93</v>
      </c>
      <c r="D86" s="4" t="s">
        <v>5</v>
      </c>
      <c r="E86" s="4">
        <v>283</v>
      </c>
      <c r="F86" s="4"/>
      <c r="G86" s="4" t="s">
        <v>5</v>
      </c>
      <c r="H86" s="2">
        <f t="shared" ca="1" si="1"/>
        <v>1987.9426265757572</v>
      </c>
    </row>
    <row r="87" spans="3:8" x14ac:dyDescent="0.35">
      <c r="C87" s="4" t="s">
        <v>94</v>
      </c>
      <c r="D87" s="4" t="s">
        <v>5</v>
      </c>
      <c r="E87" s="4">
        <v>677</v>
      </c>
      <c r="F87" s="4"/>
      <c r="G87" s="4" t="s">
        <v>5</v>
      </c>
      <c r="H87" s="2">
        <f t="shared" ca="1" si="1"/>
        <v>4744.411244576655</v>
      </c>
    </row>
    <row r="88" spans="3:8" x14ac:dyDescent="0.35">
      <c r="C88" s="4" t="s">
        <v>95</v>
      </c>
      <c r="D88" s="4" t="s">
        <v>5</v>
      </c>
      <c r="E88" s="4">
        <v>316</v>
      </c>
      <c r="F88" s="4"/>
      <c r="G88" s="4" t="s">
        <v>5</v>
      </c>
      <c r="H88" s="2">
        <f t="shared" ca="1" si="1"/>
        <v>2217.3691129108388</v>
      </c>
    </row>
    <row r="89" spans="3:8" x14ac:dyDescent="0.35">
      <c r="C89" s="4" t="s">
        <v>96</v>
      </c>
      <c r="D89" s="4" t="s">
        <v>5</v>
      </c>
      <c r="E89" s="4">
        <v>305</v>
      </c>
      <c r="F89" s="4"/>
      <c r="G89" s="4" t="s">
        <v>5</v>
      </c>
      <c r="H89" s="2">
        <f t="shared" ca="1" si="1"/>
        <v>2141.1136516836655</v>
      </c>
    </row>
    <row r="90" spans="3:8" x14ac:dyDescent="0.35">
      <c r="C90" s="4" t="s">
        <v>97</v>
      </c>
      <c r="D90" s="4" t="s">
        <v>5</v>
      </c>
      <c r="E90" s="4">
        <v>970</v>
      </c>
      <c r="F90" s="4"/>
      <c r="G90" s="4" t="s">
        <v>5</v>
      </c>
      <c r="H90" s="2">
        <f t="shared" ca="1" si="1"/>
        <v>6797.5513517797435</v>
      </c>
    </row>
    <row r="91" spans="3:8" x14ac:dyDescent="0.35">
      <c r="C91" s="4" t="s">
        <v>98</v>
      </c>
      <c r="D91" s="4" t="s">
        <v>5</v>
      </c>
      <c r="E91" s="4">
        <v>362</v>
      </c>
      <c r="F91" s="4"/>
      <c r="G91" s="4" t="s">
        <v>5</v>
      </c>
      <c r="H91" s="2">
        <f t="shared" ca="1" si="1"/>
        <v>2541.5980967866349</v>
      </c>
    </row>
    <row r="92" spans="3:8" x14ac:dyDescent="0.35">
      <c r="C92" s="4" t="s">
        <v>99</v>
      </c>
      <c r="D92" s="4" t="s">
        <v>5</v>
      </c>
      <c r="E92" s="4">
        <v>836</v>
      </c>
      <c r="F92" s="4"/>
      <c r="G92" s="4" t="s">
        <v>5</v>
      </c>
      <c r="H92" s="2">
        <f t="shared" ca="1" si="1"/>
        <v>5859.5997480633414</v>
      </c>
    </row>
    <row r="93" spans="3:8" x14ac:dyDescent="0.35">
      <c r="C93" s="4" t="s">
        <v>100</v>
      </c>
      <c r="D93" s="4" t="s">
        <v>5</v>
      </c>
      <c r="E93" s="4">
        <v>66</v>
      </c>
      <c r="F93" s="4"/>
      <c r="G93" s="4" t="s">
        <v>5</v>
      </c>
      <c r="H93" s="2">
        <f t="shared" ca="1" si="1"/>
        <v>469.59987519042488</v>
      </c>
    </row>
    <row r="94" spans="3:8" x14ac:dyDescent="0.35">
      <c r="C94" s="4" t="s">
        <v>101</v>
      </c>
      <c r="D94" s="4" t="s">
        <v>5</v>
      </c>
      <c r="E94" s="4">
        <v>590</v>
      </c>
      <c r="F94" s="4"/>
      <c r="G94" s="4" t="s">
        <v>5</v>
      </c>
      <c r="H94" s="2">
        <f t="shared" ca="1" si="1"/>
        <v>4136.0377782289579</v>
      </c>
    </row>
    <row r="95" spans="3:8" x14ac:dyDescent="0.35">
      <c r="C95" s="4" t="s">
        <v>102</v>
      </c>
      <c r="D95" s="4" t="s">
        <v>5</v>
      </c>
      <c r="E95" s="4">
        <v>852</v>
      </c>
      <c r="F95" s="4"/>
      <c r="G95" s="4" t="s">
        <v>5</v>
      </c>
      <c r="H95" s="2">
        <f t="shared" ca="1" si="1"/>
        <v>5970.5444791087884</v>
      </c>
    </row>
    <row r="96" spans="3:8" x14ac:dyDescent="0.35">
      <c r="C96" s="4" t="s">
        <v>103</v>
      </c>
      <c r="D96" s="4" t="s">
        <v>5</v>
      </c>
      <c r="E96" s="4">
        <v>963</v>
      </c>
      <c r="F96" s="4"/>
      <c r="G96" s="4" t="s">
        <v>5</v>
      </c>
      <c r="H96" s="2">
        <f t="shared" ca="1" si="1"/>
        <v>6746.5502002271332</v>
      </c>
    </row>
    <row r="97" spans="3:8" x14ac:dyDescent="0.35">
      <c r="C97" s="4" t="s">
        <v>104</v>
      </c>
      <c r="D97" s="4" t="s">
        <v>5</v>
      </c>
      <c r="E97" s="4">
        <v>802</v>
      </c>
      <c r="F97" s="4"/>
      <c r="G97" s="4" t="s">
        <v>5</v>
      </c>
      <c r="H97" s="2">
        <f t="shared" ca="1" si="1"/>
        <v>5619.365233806574</v>
      </c>
    </row>
    <row r="98" spans="3:8" x14ac:dyDescent="0.35">
      <c r="C98" s="4" t="s">
        <v>105</v>
      </c>
      <c r="D98" s="4" t="s">
        <v>5</v>
      </c>
      <c r="E98" s="4">
        <v>686</v>
      </c>
      <c r="F98" s="4"/>
      <c r="G98" s="4" t="s">
        <v>5</v>
      </c>
      <c r="H98" s="2">
        <f t="shared" ca="1" si="1"/>
        <v>4807.5226945393752</v>
      </c>
    </row>
    <row r="99" spans="3:8" x14ac:dyDescent="0.35">
      <c r="C99" s="4" t="s">
        <v>106</v>
      </c>
      <c r="D99" s="4" t="s">
        <v>5</v>
      </c>
      <c r="E99" s="4">
        <v>256</v>
      </c>
      <c r="F99" s="4"/>
      <c r="G99" s="4" t="s">
        <v>5</v>
      </c>
      <c r="H99" s="2">
        <f t="shared" ca="1" si="1"/>
        <v>1798.6588528847333</v>
      </c>
    </row>
    <row r="100" spans="3:8" x14ac:dyDescent="0.35">
      <c r="C100" s="4" t="s">
        <v>107</v>
      </c>
      <c r="D100" s="4" t="s">
        <v>5</v>
      </c>
      <c r="E100" s="4">
        <v>240</v>
      </c>
      <c r="F100" s="4"/>
      <c r="G100" s="4" t="s">
        <v>5</v>
      </c>
      <c r="H100" s="2">
        <f t="shared" ca="1" si="1"/>
        <v>1685.1198312361478</v>
      </c>
    </row>
    <row r="101" spans="3:8" x14ac:dyDescent="0.35">
      <c r="C101" s="4" t="s">
        <v>108</v>
      </c>
      <c r="D101" s="4" t="s">
        <v>5</v>
      </c>
      <c r="E101" s="4">
        <v>629</v>
      </c>
      <c r="F101" s="4"/>
      <c r="G101" s="4" t="s">
        <v>5</v>
      </c>
      <c r="H101" s="2">
        <f t="shared" ca="1" si="1"/>
        <v>4410.0126857280402</v>
      </c>
    </row>
    <row r="102" spans="3:8" x14ac:dyDescent="0.35">
      <c r="C102" s="3"/>
      <c r="D102" s="3"/>
      <c r="E102" s="3"/>
      <c r="F102" s="3"/>
      <c r="G10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9"/>
  <sheetViews>
    <sheetView workbookViewId="0">
      <selection activeCell="A2" sqref="A2:AW110"/>
    </sheetView>
  </sheetViews>
  <sheetFormatPr defaultRowHeight="14.5" x14ac:dyDescent="0.35"/>
  <cols>
    <col min="1" max="1" width="16.7265625" customWidth="1"/>
  </cols>
  <sheetData>
    <row r="1" spans="1:33" x14ac:dyDescent="0.35">
      <c r="A1" s="3" t="s">
        <v>209</v>
      </c>
    </row>
    <row r="2" spans="1:33" x14ac:dyDescent="0.35">
      <c r="E2">
        <v>1</v>
      </c>
      <c r="H2">
        <v>2</v>
      </c>
      <c r="K2">
        <v>3</v>
      </c>
      <c r="N2">
        <v>4</v>
      </c>
      <c r="Q2">
        <v>5</v>
      </c>
      <c r="T2">
        <v>6</v>
      </c>
      <c r="W2">
        <v>7</v>
      </c>
      <c r="Z2">
        <v>8</v>
      </c>
      <c r="AC2">
        <v>9</v>
      </c>
      <c r="AF2">
        <v>10</v>
      </c>
    </row>
    <row r="3" spans="1:33" x14ac:dyDescent="0.35">
      <c r="E3" cm="1">
        <f t="array" ref="E3:F7">LINEST(H$10:H$109,$E$10:$E$109,1,1)</f>
        <v>1.000735878914699</v>
      </c>
      <c r="F3">
        <v>1.6085050585992349</v>
      </c>
      <c r="H3" cm="1">
        <f t="array" ref="H3:I7">LINEST(I$10:I$109,$E$10:$E$109,1,1)</f>
        <v>1.0001409324905488</v>
      </c>
      <c r="I3">
        <v>1.9250225057029411</v>
      </c>
      <c r="K3" cm="1">
        <f t="array" ref="K3:L7">LINEST(J$10:J$109,$E$10:$E$109,1,1)</f>
        <v>0.99948982370396644</v>
      </c>
      <c r="L3">
        <v>2.271418891242547</v>
      </c>
      <c r="N3" s="5" cm="1">
        <f t="array" ref="N3:O7">LINEST(K$10:K$109,$E$10:$E$109,1,1)</f>
        <v>0.99856221592178973</v>
      </c>
      <c r="O3">
        <v>2.7649155074448117</v>
      </c>
      <c r="Q3" s="5" cm="1">
        <f t="array" ref="Q3:R7">LINEST(L$10:L$109,$E$10:$E$109,1,1)</f>
        <v>0.99958778882278165</v>
      </c>
      <c r="R3">
        <v>2.2193004683983872</v>
      </c>
      <c r="T3" s="5" cm="1">
        <f t="array" ref="T3:U7">LINEST(M$10:M$109,$E$10:$E$109,1,1)</f>
        <v>0.99815911033851468</v>
      </c>
      <c r="U3">
        <v>2.9793717088100493</v>
      </c>
      <c r="W3" cm="1">
        <f t="array" ref="W3:X7">LINEST(N$10:N$109,$E$10:$E$109,1,1)</f>
        <v>1.0003619133635084</v>
      </c>
      <c r="X3">
        <v>1.8074584714802313</v>
      </c>
      <c r="Z3" cm="1">
        <f t="array" ref="Z3:AA7">LINEST(O$10:O$109,$E$10:$E$109,1,1)</f>
        <v>0.999904938981654</v>
      </c>
      <c r="AA3">
        <v>2.0505734123782986</v>
      </c>
      <c r="AC3" cm="1">
        <f t="array" ref="AC3:AD7">LINEST(P$10:P$109,$E$10:$E$109,1,1)</f>
        <v>1.0008826152066084</v>
      </c>
      <c r="AD3">
        <v>1.5304398839289206</v>
      </c>
      <c r="AF3" cm="1">
        <f t="array" ref="AF3:AG7">LINEST(Q$10:Q$109,$E$10:$E$109,1,1)</f>
        <v>0.99966953269181003</v>
      </c>
      <c r="AG3">
        <v>2.1758119126253632</v>
      </c>
    </row>
    <row r="4" spans="1:33" x14ac:dyDescent="0.35">
      <c r="E4">
        <v>9.5820679036128821E-4</v>
      </c>
      <c r="F4">
        <v>0.57393677655482922</v>
      </c>
      <c r="H4">
        <v>1.1748164291240004E-3</v>
      </c>
      <c r="I4">
        <v>0.70367937396984281</v>
      </c>
      <c r="K4">
        <v>1.1386948450479695E-3</v>
      </c>
      <c r="L4">
        <v>0.68204364174878995</v>
      </c>
      <c r="N4">
        <v>9.6504595020407763E-4</v>
      </c>
      <c r="O4">
        <v>0.57803322566581261</v>
      </c>
      <c r="Q4">
        <v>9.4755799302665875E-4</v>
      </c>
      <c r="R4">
        <v>0.5675584702456884</v>
      </c>
      <c r="T4">
        <v>1.0215504068390379E-3</v>
      </c>
      <c r="U4">
        <v>0.61187767973174934</v>
      </c>
      <c r="W4">
        <v>1.1429048481757691E-3</v>
      </c>
      <c r="X4">
        <v>0.68456530580790609</v>
      </c>
      <c r="Z4">
        <v>1.1637727095190429E-3</v>
      </c>
      <c r="AA4">
        <v>0.69706452121049767</v>
      </c>
      <c r="AC4">
        <v>9.4139675206432428E-4</v>
      </c>
      <c r="AD4">
        <v>0.56386807396268301</v>
      </c>
      <c r="AF4">
        <v>9.3863997875064738E-4</v>
      </c>
      <c r="AG4">
        <v>0.56221685044260383</v>
      </c>
    </row>
    <row r="5" spans="1:33" x14ac:dyDescent="0.35">
      <c r="E5">
        <v>0.99991016064933236</v>
      </c>
      <c r="F5">
        <v>2.6368971670019019</v>
      </c>
      <c r="H5">
        <v>0.99986479742199019</v>
      </c>
      <c r="I5">
        <v>3.2329870179028131</v>
      </c>
      <c r="K5">
        <v>0.99987281707961717</v>
      </c>
      <c r="L5">
        <v>3.133583732854297</v>
      </c>
      <c r="N5">
        <v>0.99990847661947591</v>
      </c>
      <c r="O5">
        <v>2.6557179073635151</v>
      </c>
      <c r="Q5">
        <v>0.9999119442852481</v>
      </c>
      <c r="R5">
        <v>2.6075926538152703</v>
      </c>
      <c r="T5">
        <v>0.99989736356678616</v>
      </c>
      <c r="U5">
        <v>2.8112129874678109</v>
      </c>
      <c r="W5">
        <v>0.99987209828200696</v>
      </c>
      <c r="X5">
        <v>3.1451692751740068</v>
      </c>
      <c r="Z5">
        <v>0.99986726442486018</v>
      </c>
      <c r="AA5">
        <v>3.2025957148642532</v>
      </c>
      <c r="AC5">
        <v>0.99991331029507502</v>
      </c>
      <c r="AD5">
        <v>2.5906374840103581</v>
      </c>
      <c r="AF5">
        <v>0.99991360795828943</v>
      </c>
      <c r="AG5">
        <v>2.5830510967983034</v>
      </c>
    </row>
    <row r="6" spans="1:33" x14ac:dyDescent="0.35">
      <c r="E6">
        <v>1090738.0230977172</v>
      </c>
      <c r="F6">
        <v>98</v>
      </c>
      <c r="H6">
        <v>724740.24970319425</v>
      </c>
      <c r="I6">
        <v>98</v>
      </c>
      <c r="K6">
        <v>770445.71534360689</v>
      </c>
      <c r="L6">
        <v>98</v>
      </c>
      <c r="N6">
        <v>1070666.6443866373</v>
      </c>
      <c r="O6">
        <v>98</v>
      </c>
      <c r="Q6">
        <v>1112833.741864675</v>
      </c>
      <c r="R6">
        <v>98</v>
      </c>
      <c r="T6">
        <v>954728.63350081642</v>
      </c>
      <c r="U6">
        <v>98</v>
      </c>
      <c r="W6">
        <v>766115.32017848711</v>
      </c>
      <c r="X6">
        <v>98</v>
      </c>
      <c r="Z6">
        <v>738211.98130497243</v>
      </c>
      <c r="AA6">
        <v>98</v>
      </c>
      <c r="AC6">
        <v>1130370.7227253639</v>
      </c>
      <c r="AD6">
        <v>98</v>
      </c>
      <c r="AF6">
        <v>1134265.7453134153</v>
      </c>
      <c r="AG6">
        <v>98</v>
      </c>
    </row>
    <row r="7" spans="1:33" x14ac:dyDescent="0.35">
      <c r="E7">
        <v>7584148.7114691334</v>
      </c>
      <c r="F7">
        <v>681.4162135955803</v>
      </c>
      <c r="H7">
        <v>7575133.7036318183</v>
      </c>
      <c r="I7">
        <v>1024.3160956769561</v>
      </c>
      <c r="K7">
        <v>7565273.8319499036</v>
      </c>
      <c r="L7">
        <v>962.29600705928897</v>
      </c>
      <c r="N7">
        <v>7551237.9703338668</v>
      </c>
      <c r="O7">
        <v>691.17808514214232</v>
      </c>
      <c r="Q7">
        <v>7566756.9271317776</v>
      </c>
      <c r="R7">
        <v>666.35486592667382</v>
      </c>
      <c r="T7">
        <v>7545142.5428507784</v>
      </c>
      <c r="U7">
        <v>774.48600916895407</v>
      </c>
      <c r="W7">
        <v>7578481.5209937459</v>
      </c>
      <c r="X7">
        <v>969.4247974108614</v>
      </c>
      <c r="Z7">
        <v>7571559.2644423032</v>
      </c>
      <c r="AA7">
        <v>1005.148692660954</v>
      </c>
      <c r="AC7">
        <v>7586372.9775753403</v>
      </c>
      <c r="AD7">
        <v>657.71745220883281</v>
      </c>
      <c r="AF7">
        <v>7567994.559854635</v>
      </c>
      <c r="AG7">
        <v>653.87099092974995</v>
      </c>
    </row>
    <row r="8" spans="1:33" x14ac:dyDescent="0.35">
      <c r="E8">
        <f>ABS(F3)/F4</f>
        <v>2.8025823127324401</v>
      </c>
      <c r="F8">
        <f>F7/(E7/F6)</f>
        <v>8.8050474051729246E-3</v>
      </c>
      <c r="H8">
        <f>ABS(I3)/I4</f>
        <v>2.7356528795818318</v>
      </c>
      <c r="I8">
        <f>I7/(H7/I6)</f>
        <v>1.325164430143512E-2</v>
      </c>
      <c r="K8">
        <f>ABS(L3)/L4</f>
        <v>3.3303131239791766</v>
      </c>
      <c r="L8">
        <f>L7/(K7/L6)</f>
        <v>1.2465511597681823E-2</v>
      </c>
      <c r="N8">
        <f>ABS(O3)/O4</f>
        <v>4.7833158799133386</v>
      </c>
      <c r="O8">
        <f>O7/(N7/O6)</f>
        <v>8.9701122663646011E-3</v>
      </c>
      <c r="Q8">
        <f>ABS(R3)/R4</f>
        <v>3.9102587393994526</v>
      </c>
      <c r="R8">
        <f>R7/(Q7/R6)</f>
        <v>8.6302199858780751E-3</v>
      </c>
      <c r="T8">
        <f>ABS(U3)/U4</f>
        <v>4.8692276373216012</v>
      </c>
      <c r="U8">
        <f>U7/(T7/U6)</f>
        <v>1.0059402916181405E-2</v>
      </c>
      <c r="W8">
        <f>ABS(X3)/X4</f>
        <v>2.6403010145936565</v>
      </c>
      <c r="X8">
        <f>X7/(W7/X6)</f>
        <v>1.2535971735642214E-2</v>
      </c>
      <c r="Z8">
        <f>ABS(AA3)/AA4</f>
        <v>2.9417268416090741</v>
      </c>
      <c r="AA8">
        <f>AA7/(Z7/AA6)</f>
        <v>1.3009813228745695E-2</v>
      </c>
      <c r="AC8">
        <f>ABS(AD3)/AD4</f>
        <v>2.7141807713522113</v>
      </c>
      <c r="AD8">
        <f>AD7/(AC7/AD6)</f>
        <v>8.4963276267846135E-3</v>
      </c>
      <c r="AF8">
        <f>ABS(AG3)/AG4</f>
        <v>3.8700581651234049</v>
      </c>
      <c r="AG8">
        <f>AG7/(AF7/AG6)</f>
        <v>8.4671515821420369E-3</v>
      </c>
    </row>
    <row r="9" spans="1:33" x14ac:dyDescent="0.35">
      <c r="A9" s="3" t="s">
        <v>1</v>
      </c>
      <c r="B9" s="3" t="s">
        <v>217</v>
      </c>
      <c r="C9" s="3"/>
      <c r="D9" s="3"/>
      <c r="E9" s="3"/>
      <c r="F9" s="3"/>
      <c r="G9" s="3"/>
      <c r="H9" s="3">
        <v>1</v>
      </c>
      <c r="I9" s="3">
        <v>2</v>
      </c>
      <c r="J9" s="3">
        <v>3</v>
      </c>
      <c r="K9" s="3">
        <v>4</v>
      </c>
      <c r="L9" s="3">
        <v>5</v>
      </c>
      <c r="M9" s="3">
        <v>6</v>
      </c>
      <c r="N9" s="3">
        <v>7</v>
      </c>
      <c r="O9" s="3">
        <v>8</v>
      </c>
      <c r="P9" s="3">
        <v>9</v>
      </c>
      <c r="Q9" s="3">
        <v>10</v>
      </c>
    </row>
    <row r="10" spans="1:33" x14ac:dyDescent="0.35">
      <c r="A10" s="1" t="s">
        <v>2</v>
      </c>
      <c r="B10" s="2">
        <v>2</v>
      </c>
      <c r="C10" s="4" t="s">
        <v>9</v>
      </c>
      <c r="D10" s="4" t="s">
        <v>5</v>
      </c>
      <c r="E10" s="4">
        <v>212</v>
      </c>
      <c r="F10" s="4" t="s">
        <v>216</v>
      </c>
      <c r="G10" s="4" t="s">
        <v>5</v>
      </c>
      <c r="H10" s="2">
        <f>$E10*$B$11+$B$10+'Станд.норм.распр.'!B3*$B$12</f>
        <v>213.91564891388407</v>
      </c>
      <c r="I10" s="2">
        <f>$E10*$B$11+$B$10+'Станд.норм.распр.'!C3*$B$12</f>
        <v>208.89485617232276</v>
      </c>
      <c r="J10" s="2">
        <f>$E10*$B$11+$B$10+'Станд.норм.распр.'!D3*$B$12</f>
        <v>212.37545374248293</v>
      </c>
      <c r="K10" s="2">
        <f>$E10*$B$11+$B$10+'Станд.норм.распр.'!E3*$B$12</f>
        <v>215.19771243589639</v>
      </c>
      <c r="L10" s="2">
        <f>$E10*$B$11+$B$10+'Станд.норм.распр.'!F3*$B$12</f>
        <v>211.17976141558029</v>
      </c>
      <c r="M10" s="2">
        <f>$E10*$B$11+$B$10+'Станд.норм.распр.'!G3*$B$12</f>
        <v>215.14471163215057</v>
      </c>
      <c r="N10" s="2">
        <f>$E10*$B$11+$B$10+'Станд.норм.распр.'!H3*$B$12</f>
        <v>216.64779600911424</v>
      </c>
      <c r="O10" s="2">
        <f>$E10*$B$11+$B$10+'Станд.норм.распр.'!I3*$B$12</f>
        <v>207.63319147960283</v>
      </c>
      <c r="P10" s="2">
        <f>$E10*$B$11+$B$10+'Станд.норм.распр.'!J3*$B$12</f>
        <v>216.43456497628358</v>
      </c>
      <c r="Q10" s="2">
        <f>$E10*$B$11+$B$10+'Станд.норм.распр.'!K3*$B$12</f>
        <v>211.16007778260973</v>
      </c>
    </row>
    <row r="11" spans="1:33" x14ac:dyDescent="0.35">
      <c r="A11" s="1" t="s">
        <v>3</v>
      </c>
      <c r="B11" s="2">
        <v>1</v>
      </c>
      <c r="C11" s="4" t="s">
        <v>10</v>
      </c>
      <c r="D11" s="4" t="s">
        <v>5</v>
      </c>
      <c r="E11" s="4">
        <v>780</v>
      </c>
      <c r="F11" s="4"/>
      <c r="G11" s="4" t="s">
        <v>5</v>
      </c>
      <c r="H11" s="2">
        <f>$E11*$B$11+$B$10+'Станд.норм.распр.'!B4*$B$12</f>
        <v>781.59868091536919</v>
      </c>
      <c r="I11" s="2">
        <f>$E11*$B$11+$B$10+'Станд.норм.распр.'!C4*$B$12</f>
        <v>788.17709702055436</v>
      </c>
      <c r="J11" s="2">
        <f>$E11*$B$11+$B$10+'Станд.норм.распр.'!D4*$B$12</f>
        <v>788.13008523941971</v>
      </c>
      <c r="K11" s="2">
        <f>$E11*$B$11+$B$10+'Станд.норм.распр.'!E4*$B$12</f>
        <v>785.90956301998813</v>
      </c>
      <c r="L11" s="2">
        <f>$E11*$B$11+$B$10+'Станд.норм.распр.'!F4*$B$12</f>
        <v>784.35346760746324</v>
      </c>
      <c r="M11" s="2">
        <f>$E11*$B$11+$B$10+'Станд.норм.распр.'!G4*$B$12</f>
        <v>779.25318730270374</v>
      </c>
      <c r="N11" s="2">
        <f>$E11*$B$11+$B$10+'Станд.норм.распр.'!H4*$B$12</f>
        <v>779.42737134813797</v>
      </c>
      <c r="O11" s="2">
        <f>$E11*$B$11+$B$10+'Станд.норм.распр.'!I4*$B$12</f>
        <v>783.9547746887838</v>
      </c>
      <c r="P11" s="2">
        <f>$E11*$B$11+$B$10+'Станд.норм.распр.'!J4*$B$12</f>
        <v>782.14061924957787</v>
      </c>
      <c r="Q11" s="2">
        <f>$E11*$B$11+$B$10+'Станд.норм.распр.'!K4*$B$12</f>
        <v>784.11069391298224</v>
      </c>
    </row>
    <row r="12" spans="1:33" x14ac:dyDescent="0.35">
      <c r="A12" s="1" t="s">
        <v>4</v>
      </c>
      <c r="B12" s="2">
        <v>3</v>
      </c>
      <c r="C12" s="4" t="s">
        <v>11</v>
      </c>
      <c r="D12" s="4" t="s">
        <v>5</v>
      </c>
      <c r="E12" s="4">
        <v>280</v>
      </c>
      <c r="F12" s="4"/>
      <c r="G12" s="4" t="s">
        <v>5</v>
      </c>
      <c r="H12" s="2">
        <f>$E12*$B$11+$B$10+'Станд.норм.распр.'!B5*$B$12</f>
        <v>280.08421875968634</v>
      </c>
      <c r="I12" s="2">
        <f>$E12*$B$11+$B$10+'Станд.норм.распр.'!C5*$B$12</f>
        <v>280.84417320572538</v>
      </c>
      <c r="J12" s="2">
        <f>$E12*$B$11+$B$10+'Станд.норм.распр.'!D5*$B$12</f>
        <v>284.80419953924138</v>
      </c>
      <c r="K12" s="2">
        <f>$E12*$B$11+$B$10+'Станд.норм.распр.'!E5*$B$12</f>
        <v>288.23758751316927</v>
      </c>
      <c r="L12" s="2">
        <f>$E12*$B$11+$B$10+'Станд.норм.распр.'!F5*$B$12</f>
        <v>283.12006659946928</v>
      </c>
      <c r="M12" s="2">
        <f>$E12*$B$11+$B$10+'Станд.норм.распр.'!G5*$B$12</f>
        <v>281.84536657393619</v>
      </c>
      <c r="N12" s="2">
        <f>$E12*$B$11+$B$10+'Станд.норм.распр.'!H5*$B$12</f>
        <v>285.89397417468717</v>
      </c>
      <c r="O12" s="2">
        <f>$E12*$B$11+$B$10+'Станд.норм.распр.'!I5*$B$12</f>
        <v>278.6196537570795</v>
      </c>
      <c r="P12" s="2">
        <f>$E12*$B$11+$B$10+'Станд.норм.распр.'!J5*$B$12</f>
        <v>278.96013446737197</v>
      </c>
      <c r="Q12" s="2">
        <f>$E12*$B$11+$B$10+'Станд.норм.распр.'!K5*$B$12</f>
        <v>279.89459593557694</v>
      </c>
    </row>
    <row r="13" spans="1:33" x14ac:dyDescent="0.35">
      <c r="C13" s="4" t="s">
        <v>12</v>
      </c>
      <c r="D13" s="4" t="s">
        <v>5</v>
      </c>
      <c r="E13" s="4">
        <v>888</v>
      </c>
      <c r="F13" s="4"/>
      <c r="G13" s="4" t="s">
        <v>5</v>
      </c>
      <c r="H13" s="2">
        <f>$E13*$B$11+$B$10+'Станд.норм.распр.'!B6*$B$12</f>
        <v>887.32088781456696</v>
      </c>
      <c r="I13" s="2">
        <f>$E13*$B$11+$B$10+'Станд.норм.распр.'!C6*$B$12</f>
        <v>896.43158273305744</v>
      </c>
      <c r="J13" s="2">
        <f>$E13*$B$11+$B$10+'Станд.норм.распр.'!D6*$B$12</f>
        <v>889.91656977726961</v>
      </c>
      <c r="K13" s="2">
        <f>$E13*$B$11+$B$10+'Станд.норм.распр.'!E6*$B$12</f>
        <v>889.08584868535399</v>
      </c>
      <c r="L13" s="2">
        <f>$E13*$B$11+$B$10+'Станд.норм.распр.'!F6*$B$12</f>
        <v>890.95896666607587</v>
      </c>
      <c r="M13" s="2">
        <f>$E13*$B$11+$B$10+'Станд.норм.распр.'!G6*$B$12</f>
        <v>890.87456101027783</v>
      </c>
      <c r="N13" s="2">
        <f>$E13*$B$11+$B$10+'Станд.норм.распр.'!H6*$B$12</f>
        <v>896.73722752253525</v>
      </c>
      <c r="O13" s="2">
        <f>$E13*$B$11+$B$10+'Станд.норм.распр.'!I6*$B$12</f>
        <v>890.931715931074</v>
      </c>
      <c r="P13" s="2">
        <f>$E13*$B$11+$B$10+'Станд.норм.распр.'!J6*$B$12</f>
        <v>890.20636207409552</v>
      </c>
      <c r="Q13" s="2">
        <f>$E13*$B$11+$B$10+'Станд.норм.распр.'!K6*$B$12</f>
        <v>890.13257704267744</v>
      </c>
    </row>
    <row r="14" spans="1:33" x14ac:dyDescent="0.35">
      <c r="C14" s="4" t="s">
        <v>13</v>
      </c>
      <c r="D14" s="4" t="s">
        <v>5</v>
      </c>
      <c r="E14" s="4">
        <v>314</v>
      </c>
      <c r="F14" s="4"/>
      <c r="G14" s="4" t="s">
        <v>5</v>
      </c>
      <c r="H14" s="2">
        <f>$E14*$B$11+$B$10+'Станд.норм.распр.'!B7*$B$12</f>
        <v>316.01204625732498</v>
      </c>
      <c r="I14" s="2">
        <f>$E14*$B$11+$B$10+'Станд.норм.распр.'!C7*$B$12</f>
        <v>316.20774336917384</v>
      </c>
      <c r="J14" s="2">
        <f>$E14*$B$11+$B$10+'Станд.норм.распр.'!D7*$B$12</f>
        <v>317.38914288072556</v>
      </c>
      <c r="K14" s="2">
        <f>$E14*$B$11+$B$10+'Станд.норм.распр.'!E7*$B$12</f>
        <v>315.88924400895485</v>
      </c>
      <c r="L14" s="2">
        <f>$E14*$B$11+$B$10+'Станд.норм.распр.'!F7*$B$12</f>
        <v>316.63877564571158</v>
      </c>
      <c r="M14" s="2">
        <f>$E14*$B$11+$B$10+'Станд.норм.распр.'!G7*$B$12</f>
        <v>315.73562353261514</v>
      </c>
      <c r="N14" s="2">
        <f>$E14*$B$11+$B$10+'Станд.норм.распр.'!H7*$B$12</f>
        <v>315.20036316325422</v>
      </c>
      <c r="O14" s="2">
        <f>$E14*$B$11+$B$10+'Станд.норм.распр.'!I7*$B$12</f>
        <v>317.09966777017689</v>
      </c>
      <c r="P14" s="2">
        <f>$E14*$B$11+$B$10+'Станд.норм.распр.'!J7*$B$12</f>
        <v>316.1274430511985</v>
      </c>
      <c r="Q14" s="2">
        <f>$E14*$B$11+$B$10+'Станд.норм.распр.'!K7*$B$12</f>
        <v>320.6045488488744</v>
      </c>
    </row>
    <row r="15" spans="1:33" x14ac:dyDescent="0.35">
      <c r="C15" s="4" t="s">
        <v>14</v>
      </c>
      <c r="D15" s="4" t="s">
        <v>5</v>
      </c>
      <c r="E15" s="4">
        <v>780</v>
      </c>
      <c r="F15" s="4"/>
      <c r="G15" s="4" t="s">
        <v>5</v>
      </c>
      <c r="H15" s="2">
        <f>$E15*$B$11+$B$10+'Станд.норм.распр.'!B8*$B$12</f>
        <v>779.51662244307227</v>
      </c>
      <c r="I15" s="2">
        <f>$E15*$B$11+$B$10+'Станд.норм.распр.'!C8*$B$12</f>
        <v>776.53335931320908</v>
      </c>
      <c r="J15" s="2">
        <f>$E15*$B$11+$B$10+'Станд.норм.распр.'!D8*$B$12</f>
        <v>783.73650619217369</v>
      </c>
      <c r="K15" s="2">
        <f>$E15*$B$11+$B$10+'Станд.норм.распр.'!E8*$B$12</f>
        <v>779.17298351242789</v>
      </c>
      <c r="L15" s="2">
        <f>$E15*$B$11+$B$10+'Станд.норм.распр.'!F8*$B$12</f>
        <v>783.80699998963973</v>
      </c>
      <c r="M15" s="2">
        <f>$E15*$B$11+$B$10+'Станд.норм.распр.'!G8*$B$12</f>
        <v>782.57295778788102</v>
      </c>
      <c r="N15" s="2">
        <f>$E15*$B$11+$B$10+'Станд.норм.распр.'!H8*$B$12</f>
        <v>781.37178358777601</v>
      </c>
      <c r="O15" s="2">
        <f>$E15*$B$11+$B$10+'Станд.норм.распр.'!I8*$B$12</f>
        <v>779.60919990876573</v>
      </c>
      <c r="P15" s="2">
        <f>$E15*$B$11+$B$10+'Станд.норм.распр.'!J8*$B$12</f>
        <v>779.47664332971908</v>
      </c>
      <c r="Q15" s="2">
        <f>$E15*$B$11+$B$10+'Станд.норм.распр.'!K8*$B$12</f>
        <v>784.75135562333162</v>
      </c>
    </row>
    <row r="16" spans="1:33" x14ac:dyDescent="0.35">
      <c r="C16" s="4" t="s">
        <v>15</v>
      </c>
      <c r="D16" s="4" t="s">
        <v>5</v>
      </c>
      <c r="E16" s="4">
        <v>993</v>
      </c>
      <c r="F16" s="4"/>
      <c r="G16" s="4" t="s">
        <v>5</v>
      </c>
      <c r="H16" s="2">
        <f>$E16*$B$11+$B$10+'Станд.норм.распр.'!B9*$B$12</f>
        <v>998.8860775930516</v>
      </c>
      <c r="I16" s="2">
        <f>$E16*$B$11+$B$10+'Станд.норм.распр.'!C9*$B$12</f>
        <v>992.24829649494495</v>
      </c>
      <c r="J16" s="2">
        <f>$E16*$B$11+$B$10+'Станд.норм.распр.'!D9*$B$12</f>
        <v>997.70588543571648</v>
      </c>
      <c r="K16" s="2">
        <f>$E16*$B$11+$B$10+'Станд.норм.распр.'!E9*$B$12</f>
        <v>998.4178492569481</v>
      </c>
      <c r="L16" s="2">
        <f>$E16*$B$11+$B$10+'Станд.норм.распр.'!F9*$B$12</f>
        <v>995.75809907684743</v>
      </c>
      <c r="M16" s="2">
        <f>$E16*$B$11+$B$10+'Станд.норм.распр.'!G9*$B$12</f>
        <v>994.78190203364647</v>
      </c>
      <c r="N16" s="2">
        <f>$E16*$B$11+$B$10+'Станд.норм.распр.'!H9*$B$12</f>
        <v>996.72837189893471</v>
      </c>
      <c r="O16" s="2">
        <f>$E16*$B$11+$B$10+'Станд.норм.распр.'!I9*$B$12</f>
        <v>996.84761006494227</v>
      </c>
      <c r="P16" s="2">
        <f>$E16*$B$11+$B$10+'Станд.норм.распр.'!J9*$B$12</f>
        <v>997.23025608647731</v>
      </c>
      <c r="Q16" s="2">
        <f>$E16*$B$11+$B$10+'Станд.норм.распр.'!K9*$B$12</f>
        <v>995.59213562053628</v>
      </c>
    </row>
    <row r="17" spans="3:17" x14ac:dyDescent="0.35">
      <c r="C17" s="4" t="s">
        <v>16</v>
      </c>
      <c r="D17" s="4" t="s">
        <v>5</v>
      </c>
      <c r="E17" s="4">
        <v>326</v>
      </c>
      <c r="F17" s="4"/>
      <c r="G17" s="4" t="s">
        <v>5</v>
      </c>
      <c r="H17" s="2">
        <f>$E17*$B$11+$B$10+'Станд.норм.распр.'!B10*$B$12</f>
        <v>328.99866269920312</v>
      </c>
      <c r="I17" s="2">
        <f>$E17*$B$11+$B$10+'Станд.норм.распр.'!C10*$B$12</f>
        <v>321.51248334278353</v>
      </c>
      <c r="J17" s="2">
        <f>$E17*$B$11+$B$10+'Станд.норм.распр.'!D10*$B$12</f>
        <v>325.81846099722316</v>
      </c>
      <c r="K17" s="2">
        <f>$E17*$B$11+$B$10+'Станд.норм.распр.'!E10*$B$12</f>
        <v>329.33698108584213</v>
      </c>
      <c r="L17" s="2">
        <f>$E17*$B$11+$B$10+'Станд.норм.распр.'!F10*$B$12</f>
        <v>328.07355993147939</v>
      </c>
      <c r="M17" s="2">
        <f>$E17*$B$11+$B$10+'Станд.норм.распр.'!G10*$B$12</f>
        <v>333.41786903340835</v>
      </c>
      <c r="N17" s="2">
        <f>$E17*$B$11+$B$10+'Станд.норм.распр.'!H10*$B$12</f>
        <v>332.1559110286471</v>
      </c>
      <c r="O17" s="2">
        <f>$E17*$B$11+$B$10+'Станд.норм.распр.'!I10*$B$12</f>
        <v>328.87336388787662</v>
      </c>
      <c r="P17" s="2">
        <f>$E17*$B$11+$B$10+'Станд.норм.распр.'!J10*$B$12</f>
        <v>330.49219294043723</v>
      </c>
      <c r="Q17" s="2">
        <f>$E17*$B$11+$B$10+'Станд.норм.распр.'!K10*$B$12</f>
        <v>324.62094978702953</v>
      </c>
    </row>
    <row r="18" spans="3:17" x14ac:dyDescent="0.35">
      <c r="C18" s="4" t="s">
        <v>17</v>
      </c>
      <c r="D18" s="4" t="s">
        <v>5</v>
      </c>
      <c r="E18" s="4">
        <v>906</v>
      </c>
      <c r="F18" s="4"/>
      <c r="G18" s="4" t="s">
        <v>5</v>
      </c>
      <c r="H18" s="2">
        <f>$E18*$B$11+$B$10+'Станд.норм.распр.'!B11*$B$12</f>
        <v>910.08694928005571</v>
      </c>
      <c r="I18" s="2">
        <f>$E18*$B$11+$B$10+'Станд.норм.распр.'!C11*$B$12</f>
        <v>907.17393779469421</v>
      </c>
      <c r="J18" s="2">
        <f>$E18*$B$11+$B$10+'Станд.норм.распр.'!D11*$B$12</f>
        <v>905.98149815433135</v>
      </c>
      <c r="K18" s="2">
        <f>$E18*$B$11+$B$10+'Станд.норм.распр.'!E11*$B$12</f>
        <v>908.13188810044085</v>
      </c>
      <c r="L18" s="2">
        <f>$E18*$B$11+$B$10+'Станд.норм.распр.'!F11*$B$12</f>
        <v>907.26297164165589</v>
      </c>
      <c r="M18" s="2">
        <f>$E18*$B$11+$B$10+'Станд.норм.распр.'!G11*$B$12</f>
        <v>911.20758545058197</v>
      </c>
      <c r="N18" s="2">
        <f>$E18*$B$11+$B$10+'Станд.норм.распр.'!H11*$B$12</f>
        <v>911.97541498387</v>
      </c>
      <c r="O18" s="2">
        <f>$E18*$B$11+$B$10+'Станд.норм.распр.'!I11*$B$12</f>
        <v>910.39269638768747</v>
      </c>
      <c r="P18" s="2">
        <f>$E18*$B$11+$B$10+'Станд.норм.распр.'!J11*$B$12</f>
        <v>911.39729012921453</v>
      </c>
      <c r="Q18" s="2">
        <f>$E18*$B$11+$B$10+'Станд.норм.распр.'!K11*$B$12</f>
        <v>909.02830426840228</v>
      </c>
    </row>
    <row r="19" spans="3:17" x14ac:dyDescent="0.35">
      <c r="C19" s="4" t="s">
        <v>18</v>
      </c>
      <c r="D19" s="4" t="s">
        <v>5</v>
      </c>
      <c r="E19" s="4">
        <v>790</v>
      </c>
      <c r="F19" s="4"/>
      <c r="G19" s="4" t="s">
        <v>5</v>
      </c>
      <c r="H19" s="2">
        <f>$E19*$B$11+$B$10+'Станд.норм.распр.'!B12*$B$12</f>
        <v>792.7965468284965</v>
      </c>
      <c r="I19" s="2">
        <f>$E19*$B$11+$B$10+'Станд.норм.распр.'!C12*$B$12</f>
        <v>785.56386069848668</v>
      </c>
      <c r="J19" s="2">
        <f>$E19*$B$11+$B$10+'Станд.норм.распр.'!D12*$B$12</f>
        <v>793.53098653754569</v>
      </c>
      <c r="K19" s="2">
        <f>$E19*$B$11+$B$10+'Станд.норм.распр.'!E12*$B$12</f>
        <v>796.50500010629185</v>
      </c>
      <c r="L19" s="2">
        <f>$E19*$B$11+$B$10+'Станд.норм.распр.'!F12*$B$12</f>
        <v>793.71511146618286</v>
      </c>
      <c r="M19" s="2">
        <f>$E19*$B$11+$B$10+'Станд.норм.распр.'!G12*$B$12</f>
        <v>794.78295829048147</v>
      </c>
      <c r="N19" s="2">
        <f>$E19*$B$11+$B$10+'Станд.норм.распр.'!H12*$B$12</f>
        <v>799.76504748500884</v>
      </c>
      <c r="O19" s="2">
        <f>$E19*$B$11+$B$10+'Станд.норм.распр.'!I12*$B$12</f>
        <v>795.58424586011097</v>
      </c>
      <c r="P19" s="2">
        <f>$E19*$B$11+$B$10+'Станд.норм.распр.'!J12*$B$12</f>
        <v>792.28604063118109</v>
      </c>
      <c r="Q19" s="2">
        <f>$E19*$B$11+$B$10+'Станд.норм.распр.'!K12*$B$12</f>
        <v>791.11897248239256</v>
      </c>
    </row>
    <row r="20" spans="3:17" x14ac:dyDescent="0.35">
      <c r="C20" s="4" t="s">
        <v>19</v>
      </c>
      <c r="D20" s="4" t="s">
        <v>5</v>
      </c>
      <c r="E20" s="4">
        <v>127</v>
      </c>
      <c r="F20" s="4"/>
      <c r="G20" s="4" t="s">
        <v>5</v>
      </c>
      <c r="H20" s="2">
        <f>$E20*$B$11+$B$10+'Станд.норм.распр.'!B13*$B$12</f>
        <v>128.29344539850717</v>
      </c>
      <c r="I20" s="2">
        <f>$E20*$B$11+$B$10+'Станд.норм.распр.'!C13*$B$12</f>
        <v>126.16079400968738</v>
      </c>
      <c r="J20" s="2">
        <f>$E20*$B$11+$B$10+'Станд.норм.распр.'!D13*$B$12</f>
        <v>128.80559550749604</v>
      </c>
      <c r="K20" s="2">
        <f>$E20*$B$11+$B$10+'Станд.норм.распр.'!E13*$B$12</f>
        <v>127.24963651917642</v>
      </c>
      <c r="L20" s="2">
        <f>$E20*$B$11+$B$10+'Станд.норм.распр.'!F13*$B$12</f>
        <v>130.65599203683087</v>
      </c>
      <c r="M20" s="2">
        <f>$E20*$B$11+$B$10+'Станд.норм.распр.'!G13*$B$12</f>
        <v>126.44281012681313</v>
      </c>
      <c r="N20" s="2">
        <f>$E20*$B$11+$B$10+'Станд.норм.распр.'!H13*$B$12</f>
        <v>129.63502056946163</v>
      </c>
      <c r="O20" s="2">
        <f>$E20*$B$11+$B$10+'Станд.норм.распр.'!I13*$B$12</f>
        <v>136.31386535335332</v>
      </c>
      <c r="P20" s="2">
        <f>$E20*$B$11+$B$10+'Станд.норм.распр.'!J13*$B$12</f>
        <v>127.76965830480913</v>
      </c>
      <c r="Q20" s="2">
        <f>$E20*$B$11+$B$10+'Станд.норм.распр.'!K13*$B$12</f>
        <v>128.62390575092286</v>
      </c>
    </row>
    <row r="21" spans="3:17" x14ac:dyDescent="0.35">
      <c r="C21" s="4" t="s">
        <v>20</v>
      </c>
      <c r="D21" s="4" t="s">
        <v>5</v>
      </c>
      <c r="E21" s="4">
        <v>685</v>
      </c>
      <c r="F21" s="4"/>
      <c r="G21" s="4" t="s">
        <v>5</v>
      </c>
      <c r="H21" s="2">
        <f>$E21*$B$11+$B$10+'Станд.норм.распр.'!B14*$B$12</f>
        <v>686.09138068687753</v>
      </c>
      <c r="I21" s="2">
        <f>$E21*$B$11+$B$10+'Станд.норм.распр.'!C14*$B$12</f>
        <v>684.97747022967087</v>
      </c>
      <c r="J21" s="2">
        <f>$E21*$B$11+$B$10+'Станд.норм.распр.'!D14*$B$12</f>
        <v>687.01044327291311</v>
      </c>
      <c r="K21" s="2">
        <f>$E21*$B$11+$B$10+'Станд.норм.распр.'!E14*$B$12</f>
        <v>687.81129428508575</v>
      </c>
      <c r="L21" s="2">
        <f>$E21*$B$11+$B$10+'Станд.норм.распр.'!F14*$B$12</f>
        <v>688.53464952745708</v>
      </c>
      <c r="M21" s="2">
        <f>$E21*$B$11+$B$10+'Станд.норм.распр.'!G14*$B$12</f>
        <v>683.87808895032504</v>
      </c>
      <c r="N21" s="2">
        <f>$E21*$B$11+$B$10+'Станд.норм.распр.'!H14*$B$12</f>
        <v>688.36899302560778</v>
      </c>
      <c r="O21" s="2">
        <f>$E21*$B$11+$B$10+'Станд.норм.распр.'!I14*$B$12</f>
        <v>684.89195271659992</v>
      </c>
      <c r="P21" s="2">
        <f>$E21*$B$11+$B$10+'Станд.норм.распр.'!J14*$B$12</f>
        <v>684.28478996985359</v>
      </c>
      <c r="Q21" s="2">
        <f>$E21*$B$11+$B$10+'Станд.норм.распр.'!K14*$B$12</f>
        <v>686.91013737599133</v>
      </c>
    </row>
    <row r="22" spans="3:17" x14ac:dyDescent="0.35">
      <c r="C22" s="4" t="s">
        <v>21</v>
      </c>
      <c r="D22" s="4" t="s">
        <v>5</v>
      </c>
      <c r="E22" s="4">
        <v>320</v>
      </c>
      <c r="F22" s="4"/>
      <c r="G22" s="4" t="s">
        <v>5</v>
      </c>
      <c r="H22" s="2">
        <f>$E22*$B$11+$B$10+'Станд.норм.распр.'!B15*$B$12</f>
        <v>322.43979071051581</v>
      </c>
      <c r="I22" s="2">
        <f>$E22*$B$11+$B$10+'Станд.норм.распр.'!C15*$B$12</f>
        <v>327.85374436923303</v>
      </c>
      <c r="J22" s="2">
        <f>$E22*$B$11+$B$10+'Станд.норм.распр.'!D15*$B$12</f>
        <v>323.73460648511536</v>
      </c>
      <c r="K22" s="2">
        <f>$E22*$B$11+$B$10+'Станд.норм.распр.'!E15*$B$12</f>
        <v>322.64041955738503</v>
      </c>
      <c r="L22" s="2">
        <f>$E22*$B$11+$B$10+'Станд.норм.распр.'!F15*$B$12</f>
        <v>316.90070877072867</v>
      </c>
      <c r="M22" s="2">
        <f>$E22*$B$11+$B$10+'Станд.норм.распр.'!G15*$B$12</f>
        <v>326.09505901188822</v>
      </c>
      <c r="N22" s="2">
        <f>$E22*$B$11+$B$10+'Станд.норм.распр.'!H15*$B$12</f>
        <v>320.87502315989695</v>
      </c>
      <c r="O22" s="2">
        <f>$E22*$B$11+$B$10+'Станд.норм.распр.'!I15*$B$12</f>
        <v>327.41552253707778</v>
      </c>
      <c r="P22" s="2">
        <f>$E22*$B$11+$B$10+'Станд.норм.распр.'!J15*$B$12</f>
        <v>321.44502633297816</v>
      </c>
      <c r="Q22" s="2">
        <f>$E22*$B$11+$B$10+'Станд.норм.распр.'!K15*$B$12</f>
        <v>321.02459421718959</v>
      </c>
    </row>
    <row r="23" spans="3:17" x14ac:dyDescent="0.35">
      <c r="C23" s="4" t="s">
        <v>22</v>
      </c>
      <c r="D23" s="4" t="s">
        <v>5</v>
      </c>
      <c r="E23" s="4">
        <v>658</v>
      </c>
      <c r="F23" s="4"/>
      <c r="G23" s="4" t="s">
        <v>5</v>
      </c>
      <c r="H23" s="2">
        <f>$E23*$B$11+$B$10+'Станд.норм.распр.'!B16*$B$12</f>
        <v>660.01939270077855</v>
      </c>
      <c r="I23" s="2">
        <f>$E23*$B$11+$B$10+'Станд.норм.распр.'!C16*$B$12</f>
        <v>661.02514263744524</v>
      </c>
      <c r="J23" s="2">
        <f>$E23*$B$11+$B$10+'Станд.норм.распр.'!D16*$B$12</f>
        <v>659.96178758010501</v>
      </c>
      <c r="K23" s="2">
        <f>$E23*$B$11+$B$10+'Станд.норм.распр.'!E16*$B$12</f>
        <v>656.27948000124888</v>
      </c>
      <c r="L23" s="2">
        <f>$E23*$B$11+$B$10+'Станд.норм.распр.'!F16*$B$12</f>
        <v>665.33776074007619</v>
      </c>
      <c r="M23" s="2">
        <f>$E23*$B$11+$B$10+'Станд.норм.распр.'!G16*$B$12</f>
        <v>661.86289298653719</v>
      </c>
      <c r="N23" s="2">
        <f>$E23*$B$11+$B$10+'Станд.норм.распр.'!H16*$B$12</f>
        <v>660.19532535588951</v>
      </c>
      <c r="O23" s="2">
        <f>$E23*$B$11+$B$10+'Станд.норм.распр.'!I16*$B$12</f>
        <v>658.50497829356755</v>
      </c>
      <c r="P23" s="2">
        <f>$E23*$B$11+$B$10+'Станд.норм.распр.'!J16*$B$12</f>
        <v>658.6269313012599</v>
      </c>
      <c r="Q23" s="2">
        <f>$E23*$B$11+$B$10+'Станд.норм.распр.'!K16*$B$12</f>
        <v>663.57910266757244</v>
      </c>
    </row>
    <row r="24" spans="3:17" x14ac:dyDescent="0.35">
      <c r="C24" s="4" t="s">
        <v>23</v>
      </c>
      <c r="D24" s="4" t="s">
        <v>5</v>
      </c>
      <c r="E24" s="4">
        <v>436</v>
      </c>
      <c r="F24" s="4"/>
      <c r="G24" s="4" t="s">
        <v>5</v>
      </c>
      <c r="H24" s="2">
        <f>$E24*$B$11+$B$10+'Станд.норм.распр.'!B17*$B$12</f>
        <v>437.36756125862303</v>
      </c>
      <c r="I24" s="2">
        <f>$E24*$B$11+$B$10+'Станд.норм.распр.'!C17*$B$12</f>
        <v>438.25124563762802</v>
      </c>
      <c r="J24" s="2">
        <f>$E24*$B$11+$B$10+'Станд.норм.распр.'!D17*$B$12</f>
        <v>437.32737750896194</v>
      </c>
      <c r="K24" s="2">
        <f>$E24*$B$11+$B$10+'Станд.норм.распр.'!E17*$B$12</f>
        <v>439.34966512632673</v>
      </c>
      <c r="L24" s="2">
        <f>$E24*$B$11+$B$10+'Станд.норм.распр.'!F17*$B$12</f>
        <v>434.95591213821899</v>
      </c>
      <c r="M24" s="2">
        <f>$E24*$B$11+$B$10+'Станд.норм.распр.'!G17*$B$12</f>
        <v>438.06070536073821</v>
      </c>
      <c r="N24" s="2">
        <f>$E24*$B$11+$B$10+'Станд.норм.распр.'!H17*$B$12</f>
        <v>438.2510171270842</v>
      </c>
      <c r="O24" s="2">
        <f>$E24*$B$11+$B$10+'Станд.норм.распр.'!I17*$B$12</f>
        <v>437.75059608914307</v>
      </c>
      <c r="P24" s="2">
        <f>$E24*$B$11+$B$10+'Станд.норм.распр.'!J17*$B$12</f>
        <v>437.51398876874009</v>
      </c>
      <c r="Q24" s="2">
        <f>$E24*$B$11+$B$10+'Станд.норм.распр.'!K17*$B$12</f>
        <v>437.60006768256426</v>
      </c>
    </row>
    <row r="25" spans="3:17" x14ac:dyDescent="0.35">
      <c r="C25" s="4" t="s">
        <v>24</v>
      </c>
      <c r="D25" s="4" t="s">
        <v>5</v>
      </c>
      <c r="E25" s="4">
        <v>686</v>
      </c>
      <c r="F25" s="4"/>
      <c r="G25" s="4" t="s">
        <v>5</v>
      </c>
      <c r="H25" s="2">
        <f>$E25*$B$11+$B$10+'Станд.норм.распр.'!B18*$B$12</f>
        <v>687.30452986518503</v>
      </c>
      <c r="I25" s="2">
        <f>$E25*$B$11+$B$10+'Станд.норм.распр.'!C18*$B$12</f>
        <v>688.59588046497083</v>
      </c>
      <c r="J25" s="2">
        <f>$E25*$B$11+$B$10+'Станд.норм.распр.'!D18*$B$12</f>
        <v>690.9607735996251</v>
      </c>
      <c r="K25" s="2">
        <f>$E25*$B$11+$B$10+'Станд.норм.распр.'!E18*$B$12</f>
        <v>688.40849840843293</v>
      </c>
      <c r="L25" s="2">
        <f>$E25*$B$11+$B$10+'Станд.норм.распр.'!F18*$B$12</f>
        <v>689.70080738826073</v>
      </c>
      <c r="M25" s="2">
        <f>$E25*$B$11+$B$10+'Станд.норм.распр.'!G18*$B$12</f>
        <v>686.16983518030611</v>
      </c>
      <c r="N25" s="2">
        <f>$E25*$B$11+$B$10+'Станд.норм.распр.'!H18*$B$12</f>
        <v>684.5730011202395</v>
      </c>
      <c r="O25" s="2">
        <f>$E25*$B$11+$B$10+'Станд.норм.распр.'!I18*$B$12</f>
        <v>689.66883637575665</v>
      </c>
      <c r="P25" s="2">
        <f>$E25*$B$11+$B$10+'Станд.норм.распр.'!J18*$B$12</f>
        <v>684.52936139682424</v>
      </c>
      <c r="Q25" s="2">
        <f>$E25*$B$11+$B$10+'Станд.норм.распр.'!K18*$B$12</f>
        <v>687.62252104523941</v>
      </c>
    </row>
    <row r="26" spans="3:17" x14ac:dyDescent="0.35">
      <c r="C26" s="4" t="s">
        <v>25</v>
      </c>
      <c r="D26" s="4" t="s">
        <v>5</v>
      </c>
      <c r="E26" s="4">
        <v>797</v>
      </c>
      <c r="F26" s="4"/>
      <c r="G26" s="4" t="s">
        <v>5</v>
      </c>
      <c r="H26" s="2">
        <f>$E26*$B$11+$B$10+'Станд.норм.распр.'!B19*$B$12</f>
        <v>801.62753019342199</v>
      </c>
      <c r="I26" s="2">
        <f>$E26*$B$11+$B$10+'Станд.норм.распр.'!C19*$B$12</f>
        <v>799.60828824643977</v>
      </c>
      <c r="J26" s="2">
        <f>$E26*$B$11+$B$10+'Станд.норм.распр.'!D19*$B$12</f>
        <v>801.40850113186752</v>
      </c>
      <c r="K26" s="2">
        <f>$E26*$B$11+$B$10+'Станд.норм.распр.'!E19*$B$12</f>
        <v>800.783664629329</v>
      </c>
      <c r="L26" s="2">
        <f>$E26*$B$11+$B$10+'Станд.норм.распр.'!F19*$B$12</f>
        <v>793.41929741503554</v>
      </c>
      <c r="M26" s="2">
        <f>$E26*$B$11+$B$10+'Станд.норм.распр.'!G19*$B$12</f>
        <v>802.25886048813118</v>
      </c>
      <c r="N26" s="2">
        <f>$E26*$B$11+$B$10+'Станд.норм.распр.'!H19*$B$12</f>
        <v>797.18872755288612</v>
      </c>
      <c r="O26" s="2">
        <f>$E26*$B$11+$B$10+'Станд.норм.распр.'!I19*$B$12</f>
        <v>798.61812136461958</v>
      </c>
      <c r="P26" s="2">
        <f>$E26*$B$11+$B$10+'Станд.норм.распр.'!J19*$B$12</f>
        <v>796.33964614279103</v>
      </c>
      <c r="Q26" s="2">
        <f>$E26*$B$11+$B$10+'Станд.норм.распр.'!K19*$B$12</f>
        <v>800.25710130305379</v>
      </c>
    </row>
    <row r="27" spans="3:17" x14ac:dyDescent="0.35">
      <c r="C27" s="4" t="s">
        <v>26</v>
      </c>
      <c r="D27" s="4" t="s">
        <v>5</v>
      </c>
      <c r="E27" s="4">
        <v>464</v>
      </c>
      <c r="F27" s="4"/>
      <c r="G27" s="4" t="s">
        <v>5</v>
      </c>
      <c r="H27" s="2">
        <f>$E27*$B$11+$B$10+'Станд.норм.распр.'!B20*$B$12</f>
        <v>463.91568370710593</v>
      </c>
      <c r="I27" s="2">
        <f>$E27*$B$11+$B$10+'Станд.норм.распр.'!C20*$B$12</f>
        <v>466.38118287193356</v>
      </c>
      <c r="J27" s="2">
        <f>$E27*$B$11+$B$10+'Станд.норм.распр.'!D20*$B$12</f>
        <v>465.73401031638787</v>
      </c>
      <c r="K27" s="2">
        <f>$E27*$B$11+$B$10+'Станд.норм.распр.'!E20*$B$12</f>
        <v>467.03780280369392</v>
      </c>
      <c r="L27" s="2">
        <f>$E27*$B$11+$B$10+'Станд.норм.распр.'!F20*$B$12</f>
        <v>461.40659700869583</v>
      </c>
      <c r="M27" s="2">
        <f>$E27*$B$11+$B$10+'Станд.норм.распр.'!G20*$B$12</f>
        <v>466.1155785867013</v>
      </c>
      <c r="N27" s="2">
        <f>$E27*$B$11+$B$10+'Станд.норм.распр.'!H20*$B$12</f>
        <v>471.89592673350126</v>
      </c>
      <c r="O27" s="2">
        <f>$E27*$B$11+$B$10+'Станд.норм.распр.'!I20*$B$12</f>
        <v>465.65672941470984</v>
      </c>
      <c r="P27" s="2">
        <f>$E27*$B$11+$B$10+'Станд.норм.распр.'!J20*$B$12</f>
        <v>466.07470930540876</v>
      </c>
      <c r="Q27" s="2">
        <f>$E27*$B$11+$B$10+'Станд.норм.распр.'!K20*$B$12</f>
        <v>463.93491952004842</v>
      </c>
    </row>
    <row r="28" spans="3:17" x14ac:dyDescent="0.35">
      <c r="C28" s="4" t="s">
        <v>27</v>
      </c>
      <c r="D28" s="4" t="s">
        <v>5</v>
      </c>
      <c r="E28" s="4">
        <v>514</v>
      </c>
      <c r="F28" s="4"/>
      <c r="G28" s="4" t="s">
        <v>5</v>
      </c>
      <c r="H28" s="2">
        <f>$E28*$B$11+$B$10+'Станд.норм.распр.'!B21*$B$12</f>
        <v>513.75883679831168</v>
      </c>
      <c r="I28" s="2">
        <f>$E28*$B$11+$B$10+'Станд.норм.распр.'!C21*$B$12</f>
        <v>511.07133452425478</v>
      </c>
      <c r="J28" s="2">
        <f>$E28*$B$11+$B$10+'Станд.норм.распр.'!D21*$B$12</f>
        <v>517.45823833008762</v>
      </c>
      <c r="K28" s="2">
        <f>$E28*$B$11+$B$10+'Станд.норм.распр.'!E21*$B$12</f>
        <v>516.56034195949906</v>
      </c>
      <c r="L28" s="2">
        <f>$E28*$B$11+$B$10+'Станд.норм.распр.'!F21*$B$12</f>
        <v>517.39093344841967</v>
      </c>
      <c r="M28" s="2">
        <f>$E28*$B$11+$B$10+'Станд.норм.распр.'!G21*$B$12</f>
        <v>516.69476072894759</v>
      </c>
      <c r="N28" s="2">
        <f>$E28*$B$11+$B$10+'Станд.норм.распр.'!H21*$B$12</f>
        <v>515.4511084726837</v>
      </c>
      <c r="O28" s="2">
        <f>$E28*$B$11+$B$10+'Станд.норм.распр.'!I21*$B$12</f>
        <v>515.09450139057299</v>
      </c>
      <c r="P28" s="2">
        <f>$E28*$B$11+$B$10+'Станд.норм.распр.'!J21*$B$12</f>
        <v>518.59635044130846</v>
      </c>
      <c r="Q28" s="2">
        <f>$E28*$B$11+$B$10+'Станд.норм.распр.'!K21*$B$12</f>
        <v>520.75885826745071</v>
      </c>
    </row>
    <row r="29" spans="3:17" x14ac:dyDescent="0.35">
      <c r="C29" s="4" t="s">
        <v>28</v>
      </c>
      <c r="D29" s="4" t="s">
        <v>5</v>
      </c>
      <c r="E29" s="4">
        <v>724</v>
      </c>
      <c r="F29" s="4"/>
      <c r="G29" s="4" t="s">
        <v>5</v>
      </c>
      <c r="H29" s="2">
        <f>$E29*$B$11+$B$10+'Станд.норм.распр.'!B22*$B$12</f>
        <v>724.59986473893514</v>
      </c>
      <c r="I29" s="2">
        <f>$E29*$B$11+$B$10+'Станд.норм.распр.'!C22*$B$12</f>
        <v>728.67705900114379</v>
      </c>
      <c r="J29" s="2">
        <f>$E29*$B$11+$B$10+'Станд.норм.распр.'!D22*$B$12</f>
        <v>724.1924543135392</v>
      </c>
      <c r="K29" s="2">
        <f>$E29*$B$11+$B$10+'Станд.норм.распр.'!E22*$B$12</f>
        <v>725.50026449369034</v>
      </c>
      <c r="L29" s="2">
        <f>$E29*$B$11+$B$10+'Станд.норм.распр.'!F22*$B$12</f>
        <v>720.82533677716856</v>
      </c>
      <c r="M29" s="2">
        <f>$E29*$B$11+$B$10+'Станд.норм.распр.'!G22*$B$12</f>
        <v>728.58768750427407</v>
      </c>
      <c r="N29" s="2">
        <f>$E29*$B$11+$B$10+'Станд.норм.распр.'!H22*$B$12</f>
        <v>725.48629806567624</v>
      </c>
      <c r="O29" s="2">
        <f>$E29*$B$11+$B$10+'Станд.норм.распр.'!I22*$B$12</f>
        <v>725.73493459037854</v>
      </c>
      <c r="P29" s="2">
        <f>$E29*$B$11+$B$10+'Станд.норм.распр.'!J22*$B$12</f>
        <v>723.55104909127112</v>
      </c>
      <c r="Q29" s="2">
        <f>$E29*$B$11+$B$10+'Станд.норм.распр.'!K22*$B$12</f>
        <v>728.28110138777993</v>
      </c>
    </row>
    <row r="30" spans="3:17" x14ac:dyDescent="0.35">
      <c r="C30" s="4" t="s">
        <v>29</v>
      </c>
      <c r="D30" s="4" t="s">
        <v>5</v>
      </c>
      <c r="E30" s="4">
        <v>63</v>
      </c>
      <c r="F30" s="4"/>
      <c r="G30" s="4" t="s">
        <v>5</v>
      </c>
      <c r="H30" s="2">
        <f>$E30*$B$11+$B$10+'Станд.норм.распр.'!B23*$B$12</f>
        <v>66.544335646030959</v>
      </c>
      <c r="I30" s="2">
        <f>$E30*$B$11+$B$10+'Станд.норм.распр.'!C23*$B$12</f>
        <v>67.061881332338089</v>
      </c>
      <c r="J30" s="2">
        <f>$E30*$B$11+$B$10+'Станд.норм.распр.'!D23*$B$12</f>
        <v>63.039260162840947</v>
      </c>
      <c r="K30" s="2">
        <f>$E30*$B$11+$B$10+'Станд.норм.распр.'!E23*$B$12</f>
        <v>62.897239154553972</v>
      </c>
      <c r="L30" s="2">
        <f>$E30*$B$11+$B$10+'Станд.норм.распр.'!F23*$B$12</f>
        <v>66.343826170341345</v>
      </c>
      <c r="M30" s="2">
        <f>$E30*$B$11+$B$10+'Станд.норм.распр.'!G23*$B$12</f>
        <v>66.240334768226603</v>
      </c>
      <c r="N30" s="2">
        <f>$E30*$B$11+$B$10+'Станд.норм.распр.'!H23*$B$12</f>
        <v>64.090896380948834</v>
      </c>
      <c r="O30" s="2">
        <f>$E30*$B$11+$B$10+'Станд.норм.распр.'!I23*$B$12</f>
        <v>60.040993781003635</v>
      </c>
      <c r="P30" s="2">
        <f>$E30*$B$11+$B$10+'Станд.норм.распр.'!J23*$B$12</f>
        <v>64.155807017814368</v>
      </c>
      <c r="Q30" s="2">
        <f>$E30*$B$11+$B$10+'Станд.норм.распр.'!K23*$B$12</f>
        <v>61.999752056581201</v>
      </c>
    </row>
    <row r="31" spans="3:17" x14ac:dyDescent="0.35">
      <c r="C31" s="4" t="s">
        <v>30</v>
      </c>
      <c r="D31" s="4" t="s">
        <v>5</v>
      </c>
      <c r="E31" s="4">
        <v>298</v>
      </c>
      <c r="F31" s="4"/>
      <c r="G31" s="4" t="s">
        <v>5</v>
      </c>
      <c r="H31" s="2">
        <f>$E31*$B$11+$B$10+'Станд.норм.распр.'!B24*$B$12</f>
        <v>301.9070671442023</v>
      </c>
      <c r="I31" s="2">
        <f>$E31*$B$11+$B$10+'Станд.норм.распр.'!C24*$B$12</f>
        <v>301.42809199132898</v>
      </c>
      <c r="J31" s="2">
        <f>$E31*$B$11+$B$10+'Станд.норм.распр.'!D24*$B$12</f>
        <v>295.58709987468319</v>
      </c>
      <c r="K31" s="2">
        <f>$E31*$B$11+$B$10+'Станд.норм.распр.'!E24*$B$12</f>
        <v>304.02736532123527</v>
      </c>
      <c r="L31" s="2">
        <f>$E31*$B$11+$B$10+'Станд.норм.распр.'!F24*$B$12</f>
        <v>300.7427070158883</v>
      </c>
      <c r="M31" s="2">
        <f>$E31*$B$11+$B$10+'Станд.норм.распр.'!G24*$B$12</f>
        <v>300.98000327852787</v>
      </c>
      <c r="N31" s="2">
        <f>$E31*$B$11+$B$10+'Станд.норм.распр.'!H24*$B$12</f>
        <v>298.91849235305563</v>
      </c>
      <c r="O31" s="2">
        <f>$E31*$B$11+$B$10+'Станд.норм.распр.'!I24*$B$12</f>
        <v>293.05928213289008</v>
      </c>
      <c r="P31" s="2">
        <f>$E31*$B$11+$B$10+'Станд.норм.распр.'!J24*$B$12</f>
        <v>299.43825628179184</v>
      </c>
      <c r="Q31" s="2">
        <f>$E31*$B$11+$B$10+'Станд.норм.распр.'!K24*$B$12</f>
        <v>303.61631919076899</v>
      </c>
    </row>
    <row r="32" spans="3:17" x14ac:dyDescent="0.35">
      <c r="C32" s="4" t="s">
        <v>31</v>
      </c>
      <c r="D32" s="4" t="s">
        <v>5</v>
      </c>
      <c r="E32" s="4">
        <v>689</v>
      </c>
      <c r="F32" s="4"/>
      <c r="G32" s="4" t="s">
        <v>5</v>
      </c>
      <c r="H32" s="2">
        <f>$E32*$B$11+$B$10+'Станд.норм.распр.'!B25*$B$12</f>
        <v>688.50756387584261</v>
      </c>
      <c r="I32" s="2">
        <f>$E32*$B$11+$B$10+'Станд.норм.распр.'!C25*$B$12</f>
        <v>693.73879777523689</v>
      </c>
      <c r="J32" s="2">
        <f>$E32*$B$11+$B$10+'Станд.норм.распр.'!D25*$B$12</f>
        <v>694.11678832076723</v>
      </c>
      <c r="K32" s="2">
        <f>$E32*$B$11+$B$10+'Станд.норм.распр.'!E25*$B$12</f>
        <v>689.98968667366717</v>
      </c>
      <c r="L32" s="2">
        <f>$E32*$B$11+$B$10+'Станд.норм.распр.'!F25*$B$12</f>
        <v>695.35680249211146</v>
      </c>
      <c r="M32" s="2">
        <f>$E32*$B$11+$B$10+'Станд.норм.распр.'!G25*$B$12</f>
        <v>691.46811237552902</v>
      </c>
      <c r="N32" s="2">
        <f>$E32*$B$11+$B$10+'Станд.норм.распр.'!H25*$B$12</f>
        <v>693.19351022678893</v>
      </c>
      <c r="O32" s="2">
        <f>$E32*$B$11+$B$10+'Станд.норм.распр.'!I25*$B$12</f>
        <v>693.85360556517844</v>
      </c>
      <c r="P32" s="2">
        <f>$E32*$B$11+$B$10+'Станд.норм.распр.'!J25*$B$12</f>
        <v>691.33186108036898</v>
      </c>
      <c r="Q32" s="2">
        <f>$E32*$B$11+$B$10+'Станд.норм.распр.'!K25*$B$12</f>
        <v>686.74666162516223</v>
      </c>
    </row>
    <row r="33" spans="3:17" x14ac:dyDescent="0.35">
      <c r="C33" s="4" t="s">
        <v>32</v>
      </c>
      <c r="D33" s="4" t="s">
        <v>5</v>
      </c>
      <c r="E33" s="4">
        <v>278</v>
      </c>
      <c r="F33" s="4"/>
      <c r="G33" s="4" t="s">
        <v>5</v>
      </c>
      <c r="H33" s="2">
        <f>$E33*$B$11+$B$10+'Станд.норм.распр.'!B26*$B$12</f>
        <v>277.98178805576754</v>
      </c>
      <c r="I33" s="2">
        <f>$E33*$B$11+$B$10+'Станд.норм.распр.'!C26*$B$12</f>
        <v>280.96863232101896</v>
      </c>
      <c r="J33" s="2">
        <f>$E33*$B$11+$B$10+'Станд.норм.распр.'!D26*$B$12</f>
        <v>282.59068201557966</v>
      </c>
      <c r="K33" s="2">
        <f>$E33*$B$11+$B$10+'Станд.норм.распр.'!E26*$B$12</f>
        <v>283.59175601261086</v>
      </c>
      <c r="L33" s="2">
        <f>$E33*$B$11+$B$10+'Станд.норм.распр.'!F26*$B$12</f>
        <v>281.17017521006346</v>
      </c>
      <c r="M33" s="2">
        <f>$E33*$B$11+$B$10+'Станд.норм.распр.'!G26*$B$12</f>
        <v>279.66527639116975</v>
      </c>
      <c r="N33" s="2">
        <f>$E33*$B$11+$B$10+'Станд.норм.распр.'!H26*$B$12</f>
        <v>283.23044332617428</v>
      </c>
      <c r="O33" s="2">
        <f>$E33*$B$11+$B$10+'Станд.норм.распр.'!I26*$B$12</f>
        <v>277.78122401039582</v>
      </c>
      <c r="P33" s="2">
        <f>$E33*$B$11+$B$10+'Станд.норм.распр.'!J26*$B$12</f>
        <v>279.98198518369463</v>
      </c>
      <c r="Q33" s="2">
        <f>$E33*$B$11+$B$10+'Станд.норм.распр.'!K26*$B$12</f>
        <v>283.7180507206358</v>
      </c>
    </row>
    <row r="34" spans="3:17" x14ac:dyDescent="0.35">
      <c r="C34" s="4" t="s">
        <v>33</v>
      </c>
      <c r="D34" s="4" t="s">
        <v>5</v>
      </c>
      <c r="E34" s="4">
        <v>701</v>
      </c>
      <c r="F34" s="4"/>
      <c r="G34" s="4" t="s">
        <v>5</v>
      </c>
      <c r="H34" s="2">
        <f>$E34*$B$11+$B$10+'Станд.норм.распр.'!B27*$B$12</f>
        <v>704.1560723578441</v>
      </c>
      <c r="I34" s="2">
        <f>$E34*$B$11+$B$10+'Станд.норм.распр.'!C27*$B$12</f>
        <v>699.12293322570622</v>
      </c>
      <c r="J34" s="2">
        <f>$E34*$B$11+$B$10+'Станд.норм.распр.'!D27*$B$12</f>
        <v>704.34053152578417</v>
      </c>
      <c r="K34" s="2">
        <f>$E34*$B$11+$B$10+'Станд.норм.распр.'!E27*$B$12</f>
        <v>701.62845925235888</v>
      </c>
      <c r="L34" s="2">
        <f>$E34*$B$11+$B$10+'Станд.норм.распр.'!F27*$B$12</f>
        <v>705.23539927901584</v>
      </c>
      <c r="M34" s="2">
        <f>$E34*$B$11+$B$10+'Станд.норм.распр.'!G27*$B$12</f>
        <v>703.52022301133547</v>
      </c>
      <c r="N34" s="2">
        <f>$E34*$B$11+$B$10+'Станд.норм.распр.'!H27*$B$12</f>
        <v>699.05038965455606</v>
      </c>
      <c r="O34" s="2">
        <f>$E34*$B$11+$B$10+'Станд.норм.распр.'!I27*$B$12</f>
        <v>698.42283148912247</v>
      </c>
      <c r="P34" s="2">
        <f>$E34*$B$11+$B$10+'Станд.норм.распр.'!J27*$B$12</f>
        <v>702.46042862575268</v>
      </c>
      <c r="Q34" s="2">
        <f>$E34*$B$11+$B$10+'Станд.норм.распр.'!K27*$B$12</f>
        <v>700.8618848217593</v>
      </c>
    </row>
    <row r="35" spans="3:17" x14ac:dyDescent="0.35">
      <c r="C35" s="4" t="s">
        <v>34</v>
      </c>
      <c r="D35" s="4" t="s">
        <v>5</v>
      </c>
      <c r="E35" s="4">
        <v>219</v>
      </c>
      <c r="F35" s="4"/>
      <c r="G35" s="4" t="s">
        <v>5</v>
      </c>
      <c r="H35" s="2">
        <f>$E35*$B$11+$B$10+'Станд.норм.распр.'!B28*$B$12</f>
        <v>222.59301180246985</v>
      </c>
      <c r="I35" s="2">
        <f>$E35*$B$11+$B$10+'Станд.норм.распр.'!C28*$B$12</f>
        <v>224.46839442499913</v>
      </c>
      <c r="J35" s="2">
        <f>$E35*$B$11+$B$10+'Станд.норм.распр.'!D28*$B$12</f>
        <v>221.13808858057018</v>
      </c>
      <c r="K35" s="2">
        <f>$E35*$B$11+$B$10+'Станд.норм.распр.'!E28*$B$12</f>
        <v>221.5146330295247</v>
      </c>
      <c r="L35" s="2">
        <f>$E35*$B$11+$B$10+'Станд.норм.распр.'!F28*$B$12</f>
        <v>222.8645641830517</v>
      </c>
      <c r="M35" s="2">
        <f>$E35*$B$11+$B$10+'Станд.норм.распр.'!G28*$B$12</f>
        <v>222.6242802303168</v>
      </c>
      <c r="N35" s="2">
        <f>$E35*$B$11+$B$10+'Станд.норм.распр.'!H28*$B$12</f>
        <v>221.21579580788966</v>
      </c>
      <c r="O35" s="2">
        <f>$E35*$B$11+$B$10+'Станд.норм.распр.'!I28*$B$12</f>
        <v>217.69227236154256</v>
      </c>
      <c r="P35" s="2">
        <f>$E35*$B$11+$B$10+'Станд.норм.распр.'!J28*$B$12</f>
        <v>221.82511064647406</v>
      </c>
      <c r="Q35" s="2">
        <f>$E35*$B$11+$B$10+'Станд.норм.распр.'!K28*$B$12</f>
        <v>220.6574251781567</v>
      </c>
    </row>
    <row r="36" spans="3:17" x14ac:dyDescent="0.35">
      <c r="C36" s="4" t="s">
        <v>35</v>
      </c>
      <c r="D36" s="4" t="s">
        <v>5</v>
      </c>
      <c r="E36" s="4">
        <v>666</v>
      </c>
      <c r="F36" s="4"/>
      <c r="G36" s="4" t="s">
        <v>5</v>
      </c>
      <c r="H36" s="2">
        <f>$E36*$B$11+$B$10+'Станд.норм.распр.'!B29*$B$12</f>
        <v>669.27139855976566</v>
      </c>
      <c r="I36" s="2">
        <f>$E36*$B$11+$B$10+'Станд.норм.распр.'!C29*$B$12</f>
        <v>671.06489255308406</v>
      </c>
      <c r="J36" s="2">
        <f>$E36*$B$11+$B$10+'Станд.норм.распр.'!D29*$B$12</f>
        <v>665.61455455882242</v>
      </c>
      <c r="K36" s="2">
        <f>$E36*$B$11+$B$10+'Станд.норм.распр.'!E29*$B$12</f>
        <v>663.5034854792757</v>
      </c>
      <c r="L36" s="2">
        <f>$E36*$B$11+$B$10+'Станд.норм.распр.'!F29*$B$12</f>
        <v>670.17825117942994</v>
      </c>
      <c r="M36" s="2">
        <f>$E36*$B$11+$B$10+'Станд.норм.распр.'!G29*$B$12</f>
        <v>670.395534011157</v>
      </c>
      <c r="N36" s="2">
        <f>$E36*$B$11+$B$10+'Станд.норм.распр.'!H29*$B$12</f>
        <v>666.47084154680488</v>
      </c>
      <c r="O36" s="2">
        <f>$E36*$B$11+$B$10+'Станд.норм.распр.'!I29*$B$12</f>
        <v>669.27114617498592</v>
      </c>
      <c r="P36" s="2">
        <f>$E36*$B$11+$B$10+'Станд.норм.распр.'!J29*$B$12</f>
        <v>666.56650902074762</v>
      </c>
      <c r="Q36" s="2">
        <f>$E36*$B$11+$B$10+'Станд.норм.распр.'!K29*$B$12</f>
        <v>669.4758234101464</v>
      </c>
    </row>
    <row r="37" spans="3:17" x14ac:dyDescent="0.35">
      <c r="C37" s="4" t="s">
        <v>36</v>
      </c>
      <c r="D37" s="4" t="s">
        <v>5</v>
      </c>
      <c r="E37" s="4">
        <v>92</v>
      </c>
      <c r="F37" s="4"/>
      <c r="G37" s="4" t="s">
        <v>5</v>
      </c>
      <c r="H37" s="2">
        <f>$E37*$B$11+$B$10+'Станд.норм.распр.'!B30*$B$12</f>
        <v>92.518733264063485</v>
      </c>
      <c r="I37" s="2">
        <f>$E37*$B$11+$B$10+'Станд.норм.распр.'!C30*$B$12</f>
        <v>97.453217232163297</v>
      </c>
      <c r="J37" s="2">
        <f>$E37*$B$11+$B$10+'Станд.норм.распр.'!D30*$B$12</f>
        <v>91.75944388602511</v>
      </c>
      <c r="K37" s="2">
        <f>$E37*$B$11+$B$10+'Станд.норм.распр.'!E30*$B$12</f>
        <v>94.890137243914069</v>
      </c>
      <c r="L37" s="2">
        <f>$E37*$B$11+$B$10+'Станд.норм.распр.'!F30*$B$12</f>
        <v>96.286312792421086</v>
      </c>
      <c r="M37" s="2">
        <f>$E37*$B$11+$B$10+'Станд.норм.распр.'!G30*$B$12</f>
        <v>96.454714831401361</v>
      </c>
      <c r="N37" s="2">
        <f>$E37*$B$11+$B$10+'Станд.норм.распр.'!H30*$B$12</f>
        <v>95.946555130416527</v>
      </c>
      <c r="O37" s="2">
        <f>$E37*$B$11+$B$10+'Станд.норм.распр.'!I30*$B$12</f>
        <v>99.214938028075267</v>
      </c>
      <c r="P37" s="2">
        <f>$E37*$B$11+$B$10+'Станд.норм.распр.'!J30*$B$12</f>
        <v>93.653496161045041</v>
      </c>
      <c r="Q37" s="2">
        <f>$E37*$B$11+$B$10+'Станд.норм.распр.'!K30*$B$12</f>
        <v>97.904201548721176</v>
      </c>
    </row>
    <row r="38" spans="3:17" x14ac:dyDescent="0.35">
      <c r="C38" s="4" t="s">
        <v>37</v>
      </c>
      <c r="D38" s="4" t="s">
        <v>5</v>
      </c>
      <c r="E38" s="4">
        <v>250</v>
      </c>
      <c r="F38" s="4"/>
      <c r="G38" s="4" t="s">
        <v>5</v>
      </c>
      <c r="H38" s="2">
        <f>$E38*$B$11+$B$10+'Станд.норм.распр.'!B31*$B$12</f>
        <v>252.83727286437352</v>
      </c>
      <c r="I38" s="2">
        <f>$E38*$B$11+$B$10+'Станд.норм.распр.'!C31*$B$12</f>
        <v>256.05065293307416</v>
      </c>
      <c r="J38" s="2">
        <f>$E38*$B$11+$B$10+'Станд.норм.распр.'!D31*$B$12</f>
        <v>260.79903382156044</v>
      </c>
      <c r="K38" s="2">
        <f>$E38*$B$11+$B$10+'Станд.норм.распр.'!E31*$B$12</f>
        <v>248.21321194354095</v>
      </c>
      <c r="L38" s="2">
        <f>$E38*$B$11+$B$10+'Станд.норм.распр.'!F31*$B$12</f>
        <v>247.72860144023437</v>
      </c>
      <c r="M38" s="2">
        <f>$E38*$B$11+$B$10+'Станд.норм.распр.'!G31*$B$12</f>
        <v>250.70471356189228</v>
      </c>
      <c r="N38" s="2">
        <f>$E38*$B$11+$B$10+'Станд.норм.распр.'!H31*$B$12</f>
        <v>252.85160081653157</v>
      </c>
      <c r="O38" s="2">
        <f>$E38*$B$11+$B$10+'Станд.норм.распр.'!I31*$B$12</f>
        <v>252.6893412773934</v>
      </c>
      <c r="P38" s="2">
        <f>$E38*$B$11+$B$10+'Станд.норм.распр.'!J31*$B$12</f>
        <v>253.98323959921254</v>
      </c>
      <c r="Q38" s="2">
        <f>$E38*$B$11+$B$10+'Станд.норм.распр.'!K31*$B$12</f>
        <v>250.4640442107775</v>
      </c>
    </row>
    <row r="39" spans="3:17" x14ac:dyDescent="0.35">
      <c r="C39" s="4" t="s">
        <v>38</v>
      </c>
      <c r="D39" s="4" t="s">
        <v>5</v>
      </c>
      <c r="E39" s="4">
        <v>252</v>
      </c>
      <c r="F39" s="4"/>
      <c r="G39" s="4" t="s">
        <v>5</v>
      </c>
      <c r="H39" s="2">
        <f>$E39*$B$11+$B$10+'Станд.норм.распр.'!B32*$B$12</f>
        <v>260.89482476445846</v>
      </c>
      <c r="I39" s="2">
        <f>$E39*$B$11+$B$10+'Станд.норм.распр.'!C32*$B$12</f>
        <v>250.36558413840248</v>
      </c>
      <c r="J39" s="2">
        <f>$E39*$B$11+$B$10+'Станд.норм.распр.'!D32*$B$12</f>
        <v>253.33725803202833</v>
      </c>
      <c r="K39" s="2">
        <f>$E39*$B$11+$B$10+'Станд.норм.распр.'!E32*$B$12</f>
        <v>258.03868853027234</v>
      </c>
      <c r="L39" s="2">
        <f>$E39*$B$11+$B$10+'Станд.норм.распр.'!F32*$B$12</f>
        <v>254.87312514551741</v>
      </c>
      <c r="M39" s="2">
        <f>$E39*$B$11+$B$10+'Станд.норм.распр.'!G32*$B$12</f>
        <v>254.87168928075698</v>
      </c>
      <c r="N39" s="2">
        <f>$E39*$B$11+$B$10+'Станд.норм.распр.'!H32*$B$12</f>
        <v>254.2107344698743</v>
      </c>
      <c r="O39" s="2">
        <f>$E39*$B$11+$B$10+'Станд.норм.распр.'!I32*$B$12</f>
        <v>251.02949935453944</v>
      </c>
      <c r="P39" s="2">
        <f>$E39*$B$11+$B$10+'Станд.норм.распр.'!J32*$B$12</f>
        <v>256.3945858629304</v>
      </c>
      <c r="Q39" s="2">
        <f>$E39*$B$11+$B$10+'Станд.норм.распр.'!K32*$B$12</f>
        <v>249.70933596260147</v>
      </c>
    </row>
    <row r="40" spans="3:17" x14ac:dyDescent="0.35">
      <c r="C40" s="4" t="s">
        <v>39</v>
      </c>
      <c r="D40" s="4" t="s">
        <v>5</v>
      </c>
      <c r="E40" s="4">
        <v>110</v>
      </c>
      <c r="F40" s="4"/>
      <c r="G40" s="4" t="s">
        <v>5</v>
      </c>
      <c r="H40" s="2">
        <f>$E40*$B$11+$B$10+'Станд.норм.распр.'!B33*$B$12</f>
        <v>112.30102683012956</v>
      </c>
      <c r="I40" s="2">
        <f>$E40*$B$11+$B$10+'Станд.норм.распр.'!C33*$B$12</f>
        <v>106.93061295652296</v>
      </c>
      <c r="J40" s="2">
        <f>$E40*$B$11+$B$10+'Станд.норм.распр.'!D33*$B$12</f>
        <v>118.76614945405163</v>
      </c>
      <c r="K40" s="2">
        <f>$E40*$B$11+$B$10+'Станд.норм.распр.'!E33*$B$12</f>
        <v>109.00768512411742</v>
      </c>
      <c r="L40" s="2">
        <f>$E40*$B$11+$B$10+'Станд.норм.распр.'!F33*$B$12</f>
        <v>109.71276634419337</v>
      </c>
      <c r="M40" s="2">
        <f>$E40*$B$11+$B$10+'Станд.норм.распр.'!G33*$B$12</f>
        <v>115.24646634908277</v>
      </c>
      <c r="N40" s="2">
        <f>$E40*$B$11+$B$10+'Станд.норм.распр.'!H33*$B$12</f>
        <v>112.02214846972493</v>
      </c>
      <c r="O40" s="2">
        <f>$E40*$B$11+$B$10+'Станд.норм.распр.'!I33*$B$12</f>
        <v>112.05129550117999</v>
      </c>
      <c r="P40" s="2">
        <f>$E40*$B$11+$B$10+'Станд.норм.распр.'!J33*$B$12</f>
        <v>110.58654291529092</v>
      </c>
      <c r="Q40" s="2">
        <f>$E40*$B$11+$B$10+'Станд.норм.распр.'!K33*$B$12</f>
        <v>103.87686626100913</v>
      </c>
    </row>
    <row r="41" spans="3:17" x14ac:dyDescent="0.35">
      <c r="C41" s="4" t="s">
        <v>40</v>
      </c>
      <c r="D41" s="4" t="s">
        <v>5</v>
      </c>
      <c r="E41" s="4">
        <v>185</v>
      </c>
      <c r="F41" s="4"/>
      <c r="G41" s="4" t="s">
        <v>5</v>
      </c>
      <c r="H41" s="2">
        <f>$E41*$B$11+$B$10+'Станд.норм.распр.'!B34*$B$12</f>
        <v>189.16334001379437</v>
      </c>
      <c r="I41" s="2">
        <f>$E41*$B$11+$B$10+'Станд.норм.распр.'!C34*$B$12</f>
        <v>188.85983026312897</v>
      </c>
      <c r="J41" s="2">
        <f>$E41*$B$11+$B$10+'Станд.норм.распр.'!D34*$B$12</f>
        <v>185.55131136428099</v>
      </c>
      <c r="K41" s="2">
        <f>$E41*$B$11+$B$10+'Станд.норм.распр.'!E34*$B$12</f>
        <v>186.84605551617278</v>
      </c>
      <c r="L41" s="2">
        <f>$E41*$B$11+$B$10+'Станд.норм.распр.'!F34*$B$12</f>
        <v>188.0324447430321</v>
      </c>
      <c r="M41" s="2">
        <f>$E41*$B$11+$B$10+'Станд.норм.распр.'!G34*$B$12</f>
        <v>193.17327714280691</v>
      </c>
      <c r="N41" s="2">
        <f>$E41*$B$11+$B$10+'Станд.норм.распр.'!H34*$B$12</f>
        <v>176.71819877624512</v>
      </c>
      <c r="O41" s="2">
        <f>$E41*$B$11+$B$10+'Станд.норм.распр.'!I34*$B$12</f>
        <v>186.52235839373316</v>
      </c>
      <c r="P41" s="2">
        <f>$E41*$B$11+$B$10+'Станд.норм.распр.'!J34*$B$12</f>
        <v>181.43124579556752</v>
      </c>
      <c r="Q41" s="2">
        <f>$E41*$B$11+$B$10+'Станд.норм.распр.'!K34*$B$12</f>
        <v>186.92988477970357</v>
      </c>
    </row>
    <row r="42" spans="3:17" x14ac:dyDescent="0.35">
      <c r="C42" s="4" t="s">
        <v>41</v>
      </c>
      <c r="D42" s="4" t="s">
        <v>5</v>
      </c>
      <c r="E42" s="4">
        <v>281</v>
      </c>
      <c r="F42" s="4"/>
      <c r="G42" s="4" t="s">
        <v>5</v>
      </c>
      <c r="H42" s="2">
        <f>$E42*$B$11+$B$10+'Станд.норм.распр.'!B35*$B$12</f>
        <v>279.64336428395472</v>
      </c>
      <c r="I42" s="2">
        <f>$E42*$B$11+$B$10+'Станд.норм.распр.'!C35*$B$12</f>
        <v>282.48443587527436</v>
      </c>
      <c r="J42" s="2">
        <f>$E42*$B$11+$B$10+'Станд.норм.распр.'!D35*$B$12</f>
        <v>279.95014821554651</v>
      </c>
      <c r="K42" s="2">
        <f>$E42*$B$11+$B$10+'Станд.норм.распр.'!E35*$B$12</f>
        <v>283.67756445787381</v>
      </c>
      <c r="L42" s="2">
        <f>$E42*$B$11+$B$10+'Станд.норм.распр.'!F35*$B$12</f>
        <v>282.84146143106045</v>
      </c>
      <c r="M42" s="2">
        <f>$E42*$B$11+$B$10+'Станд.норм.распр.'!G35*$B$12</f>
        <v>280.03473804402165</v>
      </c>
      <c r="N42" s="2">
        <f>$E42*$B$11+$B$10+'Станд.норм.распр.'!H35*$B$12</f>
        <v>288.32108970219269</v>
      </c>
      <c r="O42" s="2">
        <f>$E42*$B$11+$B$10+'Станд.норм.распр.'!I35*$B$12</f>
        <v>285.94067149297916</v>
      </c>
      <c r="P42" s="2">
        <f>$E42*$B$11+$B$10+'Станд.норм.распр.'!J35*$B$12</f>
        <v>284.09917664303794</v>
      </c>
      <c r="Q42" s="2">
        <f>$E42*$B$11+$B$10+'Станд.норм.распр.'!K35*$B$12</f>
        <v>284.84705413630581</v>
      </c>
    </row>
    <row r="43" spans="3:17" x14ac:dyDescent="0.35">
      <c r="C43" s="4" t="s">
        <v>42</v>
      </c>
      <c r="D43" s="4" t="s">
        <v>5</v>
      </c>
      <c r="E43" s="4">
        <v>315</v>
      </c>
      <c r="F43" s="4"/>
      <c r="G43" s="4" t="s">
        <v>5</v>
      </c>
      <c r="H43" s="2">
        <f>$E43*$B$11+$B$10+'Станд.норм.распр.'!B36*$B$12</f>
        <v>316.19203446552274</v>
      </c>
      <c r="I43" s="2">
        <f>$E43*$B$11+$B$10+'Станд.норм.распр.'!C36*$B$12</f>
        <v>321.04324509872822</v>
      </c>
      <c r="J43" s="2">
        <f>$E43*$B$11+$B$10+'Станд.норм.распр.'!D36*$B$12</f>
        <v>318.93156552086293</v>
      </c>
      <c r="K43" s="2">
        <f>$E43*$B$11+$B$10+'Станд.норм.распр.'!E36*$B$12</f>
        <v>318.99611122297938</v>
      </c>
      <c r="L43" s="2">
        <f>$E43*$B$11+$B$10+'Станд.норм.распр.'!F36*$B$12</f>
        <v>319.93770426651463</v>
      </c>
      <c r="M43" s="2">
        <f>$E43*$B$11+$B$10+'Станд.норм.распр.'!G36*$B$12</f>
        <v>313.9075156514009</v>
      </c>
      <c r="N43" s="2">
        <f>$E43*$B$11+$B$10+'Станд.норм.распр.'!H36*$B$12</f>
        <v>312.21020072279498</v>
      </c>
      <c r="O43" s="2">
        <f>$E43*$B$11+$B$10+'Станд.норм.распр.'!I36*$B$12</f>
        <v>315.38129951967858</v>
      </c>
      <c r="P43" s="2">
        <f>$E43*$B$11+$B$10+'Станд.норм.распр.'!J36*$B$12</f>
        <v>312.08280779991765</v>
      </c>
      <c r="Q43" s="2">
        <f>$E43*$B$11+$B$10+'Станд.норм.распр.'!K36*$B$12</f>
        <v>320.55443717126036</v>
      </c>
    </row>
    <row r="44" spans="3:17" x14ac:dyDescent="0.35">
      <c r="C44" s="4" t="s">
        <v>43</v>
      </c>
      <c r="D44" s="4" t="s">
        <v>5</v>
      </c>
      <c r="E44" s="4">
        <v>883</v>
      </c>
      <c r="F44" s="4"/>
      <c r="G44" s="4" t="s">
        <v>5</v>
      </c>
      <c r="H44" s="2">
        <f>$E44*$B$11+$B$10+'Станд.норм.распр.'!B37*$B$12</f>
        <v>885.44930629883311</v>
      </c>
      <c r="I44" s="2">
        <f>$E44*$B$11+$B$10+'Станд.норм.распр.'!C37*$B$12</f>
        <v>886.31420847537811</v>
      </c>
      <c r="J44" s="2">
        <f>$E44*$B$11+$B$10+'Станд.норм.распр.'!D37*$B$12</f>
        <v>884.76372009768966</v>
      </c>
      <c r="K44" s="2">
        <f>$E44*$B$11+$B$10+'Станд.норм.распр.'!E37*$B$12</f>
        <v>882.64653239253676</v>
      </c>
      <c r="L44" s="2">
        <f>$E44*$B$11+$B$10+'Станд.норм.распр.'!F37*$B$12</f>
        <v>882.56192210043082</v>
      </c>
      <c r="M44" s="2">
        <f>$E44*$B$11+$B$10+'Станд.норм.распр.'!G37*$B$12</f>
        <v>885.86283534983522</v>
      </c>
      <c r="N44" s="2">
        <f>$E44*$B$11+$B$10+'Станд.норм.распр.'!H37*$B$12</f>
        <v>883.62132426642347</v>
      </c>
      <c r="O44" s="2">
        <f>$E44*$B$11+$B$10+'Станд.норм.распр.'!I37*$B$12</f>
        <v>887.2100380192569</v>
      </c>
      <c r="P44" s="2">
        <f>$E44*$B$11+$B$10+'Станд.норм.распр.'!J37*$B$12</f>
        <v>881.59573177268612</v>
      </c>
      <c r="Q44" s="2">
        <f>$E44*$B$11+$B$10+'Станд.норм.распр.'!K37*$B$12</f>
        <v>884.07863525550056</v>
      </c>
    </row>
    <row r="45" spans="3:17" x14ac:dyDescent="0.35">
      <c r="C45" s="4" t="s">
        <v>44</v>
      </c>
      <c r="D45" s="4" t="s">
        <v>5</v>
      </c>
      <c r="E45" s="4">
        <v>75</v>
      </c>
      <c r="F45" s="4"/>
      <c r="G45" s="4" t="s">
        <v>5</v>
      </c>
      <c r="H45" s="2">
        <f>$E45*$B$11+$B$10+'Станд.норм.распр.'!B38*$B$12</f>
        <v>77.589325281907804</v>
      </c>
      <c r="I45" s="2">
        <f>$E45*$B$11+$B$10+'Станд.норм.распр.'!C38*$B$12</f>
        <v>77.139009443955729</v>
      </c>
      <c r="J45" s="2">
        <f>$E45*$B$11+$B$10+'Станд.норм.распр.'!D38*$B$12</f>
        <v>81.250841811881401</v>
      </c>
      <c r="K45" s="2">
        <f>$E45*$B$11+$B$10+'Станд.норм.распр.'!E38*$B$12</f>
        <v>75.156274614302674</v>
      </c>
      <c r="L45" s="2">
        <f>$E45*$B$11+$B$10+'Станд.норм.распр.'!F38*$B$12</f>
        <v>81.139792508794926</v>
      </c>
      <c r="M45" s="2">
        <f>$E45*$B$11+$B$10+'Станд.норм.распр.'!G38*$B$12</f>
        <v>75.725337491123355</v>
      </c>
      <c r="N45" s="2">
        <f>$E45*$B$11+$B$10+'Станд.норм.распр.'!H38*$B$12</f>
        <v>81.459461706574075</v>
      </c>
      <c r="O45" s="2">
        <f>$E45*$B$11+$B$10+'Станд.норм.распр.'!I38*$B$12</f>
        <v>79.889894403779181</v>
      </c>
      <c r="P45" s="2">
        <f>$E45*$B$11+$B$10+'Станд.норм.распр.'!J38*$B$12</f>
        <v>76.384914417532855</v>
      </c>
      <c r="Q45" s="2">
        <f>$E45*$B$11+$B$10+'Станд.норм.распр.'!K38*$B$12</f>
        <v>79.957042397611076</v>
      </c>
    </row>
    <row r="46" spans="3:17" x14ac:dyDescent="0.35">
      <c r="C46" s="4" t="s">
        <v>45</v>
      </c>
      <c r="D46" s="4" t="s">
        <v>5</v>
      </c>
      <c r="E46" s="4">
        <v>763</v>
      </c>
      <c r="F46" s="4"/>
      <c r="G46" s="4" t="s">
        <v>5</v>
      </c>
      <c r="H46" s="2">
        <f>$E46*$B$11+$B$10+'Станд.норм.распр.'!B39*$B$12</f>
        <v>763.9170032677066</v>
      </c>
      <c r="I46" s="2">
        <f>$E46*$B$11+$B$10+'Станд.норм.распр.'!C39*$B$12</f>
        <v>770.33664206159301</v>
      </c>
      <c r="J46" s="2">
        <f>$E46*$B$11+$B$10+'Станд.норм.распр.'!D39*$B$12</f>
        <v>768.33952812070493</v>
      </c>
      <c r="K46" s="2">
        <f>$E46*$B$11+$B$10+'Станд.норм.распр.'!E39*$B$12</f>
        <v>763.93706444709096</v>
      </c>
      <c r="L46" s="2">
        <f>$E46*$B$11+$B$10+'Станд.норм.распр.'!F39*$B$12</f>
        <v>763.8725494404207</v>
      </c>
      <c r="M46" s="2">
        <f>$E46*$B$11+$B$10+'Станд.норм.распр.'!G39*$B$12</f>
        <v>761.75229901185958</v>
      </c>
      <c r="N46" s="2">
        <f>$E46*$B$11+$B$10+'Станд.норм.распр.'!H39*$B$12</f>
        <v>762.56351826363243</v>
      </c>
      <c r="O46" s="2">
        <f>$E46*$B$11+$B$10+'Станд.норм.распр.'!I39*$B$12</f>
        <v>765.60009256230842</v>
      </c>
      <c r="P46" s="2">
        <f>$E46*$B$11+$B$10+'Станд.норм.распр.'!J39*$B$12</f>
        <v>762.48675918453955</v>
      </c>
      <c r="Q46" s="2">
        <f>$E46*$B$11+$B$10+'Станд.норм.распр.'!K39*$B$12</f>
        <v>766.60359149958822</v>
      </c>
    </row>
    <row r="47" spans="3:17" x14ac:dyDescent="0.35">
      <c r="C47" s="4" t="s">
        <v>46</v>
      </c>
      <c r="D47" s="4" t="s">
        <v>5</v>
      </c>
      <c r="E47" s="4">
        <v>438</v>
      </c>
      <c r="F47" s="4"/>
      <c r="G47" s="4" t="s">
        <v>5</v>
      </c>
      <c r="H47" s="2">
        <f>$E47*$B$11+$B$10+'Станд.норм.распр.'!B40*$B$12</f>
        <v>443.23864924212103</v>
      </c>
      <c r="I47" s="2">
        <f>$E47*$B$11+$B$10+'Станд.норм.распр.'!C40*$B$12</f>
        <v>435.53359430137789</v>
      </c>
      <c r="J47" s="2">
        <f>$E47*$B$11+$B$10+'Станд.норм.распр.'!D40*$B$12</f>
        <v>445.11394318891689</v>
      </c>
      <c r="K47" s="2">
        <f>$E47*$B$11+$B$10+'Станд.норм.распр.'!E40*$B$12</f>
        <v>444.39805717178388</v>
      </c>
      <c r="L47" s="2">
        <f>$E47*$B$11+$B$10+'Станд.норм.распр.'!F40*$B$12</f>
        <v>442.11598717214656</v>
      </c>
      <c r="M47" s="2">
        <f>$E47*$B$11+$B$10+'Станд.норм.распр.'!G40*$B$12</f>
        <v>439.48094000501442</v>
      </c>
      <c r="N47" s="2">
        <f>$E47*$B$11+$B$10+'Станд.норм.распр.'!H40*$B$12</f>
        <v>440.43793534132419</v>
      </c>
      <c r="O47" s="2">
        <f>$E47*$B$11+$B$10+'Станд.норм.распр.'!I40*$B$12</f>
        <v>443.01846739603207</v>
      </c>
      <c r="P47" s="2">
        <f>$E47*$B$11+$B$10+'Станд.норм.распр.'!J40*$B$12</f>
        <v>441.75009063241305</v>
      </c>
      <c r="Q47" s="2">
        <f>$E47*$B$11+$B$10+'Станд.норм.распр.'!K40*$B$12</f>
        <v>440.78894117905293</v>
      </c>
    </row>
    <row r="48" spans="3:17" x14ac:dyDescent="0.35">
      <c r="C48" s="4" t="s">
        <v>47</v>
      </c>
      <c r="D48" s="4" t="s">
        <v>5</v>
      </c>
      <c r="E48" s="4">
        <v>752</v>
      </c>
      <c r="F48" s="4"/>
      <c r="G48" s="4" t="s">
        <v>5</v>
      </c>
      <c r="H48" s="2">
        <f>$E48*$B$11+$B$10+'Станд.норм.распр.'!B41*$B$12</f>
        <v>752.11926272741402</v>
      </c>
      <c r="I48" s="2">
        <f>$E48*$B$11+$B$10+'Станд.норм.распр.'!C41*$B$12</f>
        <v>755.60041281560552</v>
      </c>
      <c r="J48" s="2">
        <f>$E48*$B$11+$B$10+'Станд.норм.распр.'!D41*$B$12</f>
        <v>757.79290668206522</v>
      </c>
      <c r="K48" s="2">
        <f>$E48*$B$11+$B$10+'Станд.норм.распр.'!E41*$B$12</f>
        <v>753.28235070001392</v>
      </c>
      <c r="L48" s="2">
        <f>$E48*$B$11+$B$10+'Станд.норм.распр.'!F41*$B$12</f>
        <v>755.41217469717958</v>
      </c>
      <c r="M48" s="2">
        <f>$E48*$B$11+$B$10+'Станд.норм.распр.'!G41*$B$12</f>
        <v>750.0487457428826</v>
      </c>
      <c r="N48" s="2">
        <f>$E48*$B$11+$B$10+'Станд.норм.распр.'!H41*$B$12</f>
        <v>746.08870576694608</v>
      </c>
      <c r="O48" s="2">
        <f>$E48*$B$11+$B$10+'Станд.норм.распр.'!I41*$B$12</f>
        <v>750.19942627759883</v>
      </c>
      <c r="P48" s="2">
        <f>$E48*$B$11+$B$10+'Станд.норм.распр.'!J41*$B$12</f>
        <v>754.62047774918028</v>
      </c>
      <c r="Q48" s="2">
        <f>$E48*$B$11+$B$10+'Станд.норм.распр.'!K41*$B$12</f>
        <v>751.98437329445733</v>
      </c>
    </row>
    <row r="49" spans="3:17" x14ac:dyDescent="0.35">
      <c r="C49" s="4" t="s">
        <v>48</v>
      </c>
      <c r="D49" s="4" t="s">
        <v>5</v>
      </c>
      <c r="E49" s="4">
        <v>607</v>
      </c>
      <c r="F49" s="4"/>
      <c r="G49" s="4" t="s">
        <v>5</v>
      </c>
      <c r="H49" s="2">
        <f>$E49*$B$11+$B$10+'Станд.норм.распр.'!B42*$B$12</f>
        <v>609.01755779521773</v>
      </c>
      <c r="I49" s="2">
        <f>$E49*$B$11+$B$10+'Станд.норм.распр.'!C42*$B$12</f>
        <v>610.11711642603041</v>
      </c>
      <c r="J49" s="2">
        <f>$E49*$B$11+$B$10+'Станд.норм.распр.'!D42*$B$12</f>
        <v>601.51827830448747</v>
      </c>
      <c r="K49" s="2">
        <f>$E49*$B$11+$B$10+'Станд.норм.распр.'!E42*$B$12</f>
        <v>611.69315705736517</v>
      </c>
      <c r="L49" s="2">
        <f>$E49*$B$11+$B$10+'Станд.норм.распр.'!F42*$B$12</f>
        <v>605.38368080923101</v>
      </c>
      <c r="M49" s="2">
        <f>$E49*$B$11+$B$10+'Станд.норм.распр.'!G42*$B$12</f>
        <v>603.82717612409033</v>
      </c>
      <c r="N49" s="2">
        <f>$E49*$B$11+$B$10+'Станд.норм.распр.'!H42*$B$12</f>
        <v>609.53047870096634</v>
      </c>
      <c r="O49" s="2">
        <f>$E49*$B$11+$B$10+'Станд.норм.распр.'!I42*$B$12</f>
        <v>615.17327714280691</v>
      </c>
      <c r="P49" s="2">
        <f>$E49*$B$11+$B$10+'Станд.норм.распр.'!J42*$B$12</f>
        <v>606.34983020971413</v>
      </c>
      <c r="Q49" s="2">
        <f>$E49*$B$11+$B$10+'Станд.норм.распр.'!K42*$B$12</f>
        <v>606.95812527736416</v>
      </c>
    </row>
    <row r="50" spans="3:17" x14ac:dyDescent="0.35">
      <c r="C50" s="4" t="s">
        <v>49</v>
      </c>
      <c r="D50" s="4" t="s">
        <v>5</v>
      </c>
      <c r="E50" s="4">
        <v>733</v>
      </c>
      <c r="F50" s="4"/>
      <c r="G50" s="4" t="s">
        <v>5</v>
      </c>
      <c r="H50" s="2">
        <f>$E50*$B$11+$B$10+'Станд.норм.распр.'!B43*$B$12</f>
        <v>734.2321841091325</v>
      </c>
      <c r="I50" s="2">
        <f>$E50*$B$11+$B$10+'Станд.норм.распр.'!C43*$B$12</f>
        <v>736.28220335682272</v>
      </c>
      <c r="J50" s="2">
        <f>$E50*$B$11+$B$10+'Станд.норм.распр.'!D43*$B$12</f>
        <v>736.72728732650285</v>
      </c>
      <c r="K50" s="2">
        <f>$E50*$B$11+$B$10+'Станд.норм.распр.'!E43*$B$12</f>
        <v>734.55765815684572</v>
      </c>
      <c r="L50" s="2">
        <f>$E50*$B$11+$B$10+'Станд.норм.распр.'!F43*$B$12</f>
        <v>738.43282181347604</v>
      </c>
      <c r="M50" s="2">
        <f>$E50*$B$11+$B$10+'Станд.норм.распр.'!G43*$B$12</f>
        <v>732.85921772854635</v>
      </c>
      <c r="N50" s="2">
        <f>$E50*$B$11+$B$10+'Станд.норм.распр.'!H43*$B$12</f>
        <v>734.91358208717429</v>
      </c>
      <c r="O50" s="2">
        <f>$E50*$B$11+$B$10+'Станд.норм.распр.'!I43*$B$12</f>
        <v>734.64078824632452</v>
      </c>
      <c r="P50" s="2">
        <f>$E50*$B$11+$B$10+'Станд.норм.распр.'!J43*$B$12</f>
        <v>736.8430865717819</v>
      </c>
      <c r="Q50" s="2">
        <f>$E50*$B$11+$B$10+'Станд.норм.распр.'!K43*$B$12</f>
        <v>742.67686287872493</v>
      </c>
    </row>
    <row r="51" spans="3:17" x14ac:dyDescent="0.35">
      <c r="C51" s="4" t="s">
        <v>50</v>
      </c>
      <c r="D51" s="4" t="s">
        <v>5</v>
      </c>
      <c r="E51" s="4">
        <v>526</v>
      </c>
      <c r="F51" s="4"/>
      <c r="G51" s="4" t="s">
        <v>5</v>
      </c>
      <c r="H51" s="2">
        <f>$E51*$B$11+$B$10+'Станд.норм.распр.'!B44*$B$12</f>
        <v>527.86076204550045</v>
      </c>
      <c r="I51" s="2">
        <f>$E51*$B$11+$B$10+'Станд.норм.распр.'!C44*$B$12</f>
        <v>527.29202999737754</v>
      </c>
      <c r="J51" s="2">
        <f>$E51*$B$11+$B$10+'Станд.норм.распр.'!D44*$B$12</f>
        <v>527.64771859595203</v>
      </c>
      <c r="K51" s="2">
        <f>$E51*$B$11+$B$10+'Станд.норм.распр.'!E44*$B$12</f>
        <v>526.97972429607762</v>
      </c>
      <c r="L51" s="2">
        <f>$E51*$B$11+$B$10+'Станд.норм.распр.'!F44*$B$12</f>
        <v>530.60777152713854</v>
      </c>
      <c r="M51" s="2">
        <f>$E51*$B$11+$B$10+'Станд.норм.распр.'!G44*$B$12</f>
        <v>527.86466718837619</v>
      </c>
      <c r="N51" s="2">
        <f>$E51*$B$11+$B$10+'Станд.норм.распр.'!H44*$B$12</f>
        <v>527.20820755505702</v>
      </c>
      <c r="O51" s="2">
        <f>$E51*$B$11+$B$10+'Станд.норм.распр.'!I44*$B$12</f>
        <v>535.57809175411239</v>
      </c>
      <c r="P51" s="2">
        <f>$E51*$B$11+$B$10+'Станд.норм.распр.'!J44*$B$12</f>
        <v>530.96555764786899</v>
      </c>
      <c r="Q51" s="2">
        <f>$E51*$B$11+$B$10+'Станд.норм.распр.'!K44*$B$12</f>
        <v>527.06129914961639</v>
      </c>
    </row>
    <row r="52" spans="3:17" x14ac:dyDescent="0.35">
      <c r="C52" s="4" t="s">
        <v>51</v>
      </c>
      <c r="D52" s="4" t="s">
        <v>5</v>
      </c>
      <c r="E52" s="4">
        <v>270</v>
      </c>
      <c r="F52" s="4"/>
      <c r="G52" s="4" t="s">
        <v>5</v>
      </c>
      <c r="H52" s="2">
        <f>$E52*$B$11+$B$10+'Станд.норм.распр.'!B45*$B$12</f>
        <v>273.00327042673598</v>
      </c>
      <c r="I52" s="2">
        <f>$E52*$B$11+$B$10+'Станд.норм.распр.'!C45*$B$12</f>
        <v>270.00245632286533</v>
      </c>
      <c r="J52" s="2">
        <f>$E52*$B$11+$B$10+'Станд.норм.распр.'!D45*$B$12</f>
        <v>269.19188508606749</v>
      </c>
      <c r="K52" s="2">
        <f>$E52*$B$11+$B$10+'Станд.норм.распр.'!E45*$B$12</f>
        <v>272.50881112656498</v>
      </c>
      <c r="L52" s="2">
        <f>$E52*$B$11+$B$10+'Станд.норм.распр.'!F45*$B$12</f>
        <v>271.30287913230131</v>
      </c>
      <c r="M52" s="2">
        <f>$E52*$B$11+$B$10+'Станд.норм.распр.'!G45*$B$12</f>
        <v>275.84084614779567</v>
      </c>
      <c r="N52" s="2">
        <f>$E52*$B$11+$B$10+'Станд.норм.распр.'!H45*$B$12</f>
        <v>273.17760691864532</v>
      </c>
      <c r="O52" s="2">
        <f>$E52*$B$11+$B$10+'Станд.норм.распр.'!I45*$B$12</f>
        <v>269.1911756802001</v>
      </c>
      <c r="P52" s="2">
        <f>$E52*$B$11+$B$10+'Станд.норм.распр.'!J45*$B$12</f>
        <v>270.90671006141929</v>
      </c>
      <c r="Q52" s="2">
        <f>$E52*$B$11+$B$10+'Станд.норм.распр.'!K45*$B$12</f>
        <v>270.84590579313226</v>
      </c>
    </row>
    <row r="53" spans="3:17" x14ac:dyDescent="0.35">
      <c r="C53" s="4" t="s">
        <v>52</v>
      </c>
      <c r="D53" s="4" t="s">
        <v>5</v>
      </c>
      <c r="E53" s="4">
        <v>728</v>
      </c>
      <c r="F53" s="4"/>
      <c r="G53" s="4" t="s">
        <v>5</v>
      </c>
      <c r="H53" s="2">
        <f>$E53*$B$11+$B$10+'Станд.норм.распр.'!B46*$B$12</f>
        <v>728.83254986343672</v>
      </c>
      <c r="I53" s="2">
        <f>$E53*$B$11+$B$10+'Станд.норм.распр.'!C46*$B$12</f>
        <v>730.5813717507408</v>
      </c>
      <c r="J53" s="2">
        <f>$E53*$B$11+$B$10+'Станд.норм.распр.'!D46*$B$12</f>
        <v>726.40824398738914</v>
      </c>
      <c r="K53" s="2">
        <f>$E53*$B$11+$B$10+'Станд.норм.распр.'!E46*$B$12</f>
        <v>729.00885427450703</v>
      </c>
      <c r="L53" s="2">
        <f>$E53*$B$11+$B$10+'Станд.норм.распр.'!F46*$B$12</f>
        <v>733.35235199599992</v>
      </c>
      <c r="M53" s="2">
        <f>$E53*$B$11+$B$10+'Станд.норм.распр.'!G46*$B$12</f>
        <v>732.20371816794795</v>
      </c>
      <c r="N53" s="2">
        <f>$E53*$B$11+$B$10+'Станд.норм.распр.'!H46*$B$12</f>
        <v>730.35112520890834</v>
      </c>
      <c r="O53" s="2">
        <f>$E53*$B$11+$B$10+'Станд.норм.распр.'!I46*$B$12</f>
        <v>731.33647290567751</v>
      </c>
      <c r="P53" s="2">
        <f>$E53*$B$11+$B$10+'Станд.норм.распр.'!J46*$B$12</f>
        <v>726.88124034946668</v>
      </c>
      <c r="Q53" s="2">
        <f>$E53*$B$11+$B$10+'Станд.норм.распр.'!K46*$B$12</f>
        <v>730.81034272625402</v>
      </c>
    </row>
    <row r="54" spans="3:17" x14ac:dyDescent="0.35">
      <c r="C54" s="4" t="s">
        <v>53</v>
      </c>
      <c r="D54" s="4" t="s">
        <v>5</v>
      </c>
      <c r="E54" s="4">
        <v>643</v>
      </c>
      <c r="F54" s="4"/>
      <c r="G54" s="4" t="s">
        <v>5</v>
      </c>
      <c r="H54" s="2">
        <f>$E54*$B$11+$B$10+'Станд.норм.распр.'!B47*$B$12</f>
        <v>641.57467469660332</v>
      </c>
      <c r="I54" s="2">
        <f>$E54*$B$11+$B$10+'Станд.норм.распр.'!C47*$B$12</f>
        <v>643.44884996491601</v>
      </c>
      <c r="J54" s="2">
        <f>$E54*$B$11+$B$10+'Станд.норм.распр.'!D47*$B$12</f>
        <v>647.59969283433747</v>
      </c>
      <c r="K54" s="2">
        <f>$E54*$B$11+$B$10+'Станд.норм.распр.'!E47*$B$12</f>
        <v>642.89136609251727</v>
      </c>
      <c r="L54" s="2">
        <f>$E54*$B$11+$B$10+'Станд.норм.распр.'!F47*$B$12</f>
        <v>647.52335667028092</v>
      </c>
      <c r="M54" s="2">
        <f>$E54*$B$11+$B$10+'Станд.норм.распр.'!G47*$B$12</f>
        <v>645.5601100383501</v>
      </c>
      <c r="N54" s="2">
        <f>$E54*$B$11+$B$10+'Станд.норм.распр.'!H47*$B$12</f>
        <v>645.52162135943945</v>
      </c>
      <c r="O54" s="2">
        <f>$E54*$B$11+$B$10+'Станд.норм.распр.'!I47*$B$12</f>
        <v>642.41763986094156</v>
      </c>
      <c r="P54" s="2">
        <f>$E54*$B$11+$B$10+'Станд.норм.распр.'!J47*$B$12</f>
        <v>644.4571646766417</v>
      </c>
      <c r="Q54" s="2">
        <f>$E54*$B$11+$B$10+'Станд.норм.распр.'!K47*$B$12</f>
        <v>642.493273440341</v>
      </c>
    </row>
    <row r="55" spans="3:17" x14ac:dyDescent="0.35">
      <c r="C55" s="4" t="s">
        <v>54</v>
      </c>
      <c r="D55" s="4" t="s">
        <v>5</v>
      </c>
      <c r="E55" s="4">
        <v>847</v>
      </c>
      <c r="F55" s="4"/>
      <c r="G55" s="4" t="s">
        <v>5</v>
      </c>
      <c r="H55" s="2">
        <f>$E55*$B$11+$B$10+'Станд.норм.распр.'!B48*$B$12</f>
        <v>846.59498450657702</v>
      </c>
      <c r="I55" s="2">
        <f>$E55*$B$11+$B$10+'Станд.норм.распр.'!C48*$B$12</f>
        <v>850.38326981868886</v>
      </c>
      <c r="J55" s="2">
        <f>$E55*$B$11+$B$10+'Станд.норм.распр.'!D48*$B$12</f>
        <v>846.49229800727335</v>
      </c>
      <c r="K55" s="2">
        <f>$E55*$B$11+$B$10+'Станд.норм.распр.'!E48*$B$12</f>
        <v>851.61106720245152</v>
      </c>
      <c r="L55" s="2">
        <f>$E55*$B$11+$B$10+'Станд.норм.распр.'!F48*$B$12</f>
        <v>850.10310566014959</v>
      </c>
      <c r="M55" s="2">
        <f>$E55*$B$11+$B$10+'Станд.норм.распр.'!G48*$B$12</f>
        <v>844.88679656881141</v>
      </c>
      <c r="N55" s="2">
        <f>$E55*$B$11+$B$10+'Станд.норм.распр.'!H48*$B$12</f>
        <v>851.51356823355309</v>
      </c>
      <c r="O55" s="2">
        <f>$E55*$B$11+$B$10+'Станд.норм.распр.'!I48*$B$12</f>
        <v>850.49242623592727</v>
      </c>
      <c r="P55" s="2">
        <f>$E55*$B$11+$B$10+'Станд.норм.распр.'!J48*$B$12</f>
        <v>851.07731090995367</v>
      </c>
      <c r="Q55" s="2">
        <f>$E55*$B$11+$B$10+'Станд.норм.распр.'!K48*$B$12</f>
        <v>845.93973904868471</v>
      </c>
    </row>
    <row r="56" spans="3:17" x14ac:dyDescent="0.35">
      <c r="C56" s="4" t="s">
        <v>55</v>
      </c>
      <c r="D56" s="4" t="s">
        <v>5</v>
      </c>
      <c r="E56" s="4">
        <v>980</v>
      </c>
      <c r="F56" s="4"/>
      <c r="G56" s="4" t="s">
        <v>5</v>
      </c>
      <c r="H56" s="2">
        <f>$E56*$B$11+$B$10+'Станд.норм.распр.'!B49*$B$12</f>
        <v>982.47368871491926</v>
      </c>
      <c r="I56" s="2">
        <f>$E56*$B$11+$B$10+'Станд.норм.распр.'!C49*$B$12</f>
        <v>981.68074348544178</v>
      </c>
      <c r="J56" s="2">
        <f>$E56*$B$11+$B$10+'Станд.норм.распр.'!D49*$B$12</f>
        <v>977.74415141978534</v>
      </c>
      <c r="K56" s="2">
        <f>$E56*$B$11+$B$10+'Станд.норм.распр.'!E49*$B$12</f>
        <v>975.48367055063136</v>
      </c>
      <c r="L56" s="2">
        <f>$E56*$B$11+$B$10+'Станд.норм.распр.'!F49*$B$12</f>
        <v>987.88015609537251</v>
      </c>
      <c r="M56" s="2">
        <f>$E56*$B$11+$B$10+'Станд.норм.распр.'!G49*$B$12</f>
        <v>984.31124431593344</v>
      </c>
      <c r="N56" s="2">
        <f>$E56*$B$11+$B$10+'Станд.норм.распр.'!H49*$B$12</f>
        <v>981.91495997164748</v>
      </c>
      <c r="O56" s="2">
        <f>$E56*$B$11+$B$10+'Станд.норм.распр.'!I49*$B$12</f>
        <v>979.30409399489872</v>
      </c>
      <c r="P56" s="2">
        <f>$E56*$B$11+$B$10+'Станд.норм.распр.'!J49*$B$12</f>
        <v>981.29415480437456</v>
      </c>
      <c r="Q56" s="2">
        <f>$E56*$B$11+$B$10+'Станд.норм.распр.'!K49*$B$12</f>
        <v>978.06941400998039</v>
      </c>
    </row>
    <row r="57" spans="3:17" x14ac:dyDescent="0.35">
      <c r="C57" s="4" t="s">
        <v>56</v>
      </c>
      <c r="D57" s="4" t="s">
        <v>5</v>
      </c>
      <c r="E57" s="4">
        <v>337</v>
      </c>
      <c r="F57" s="4"/>
      <c r="G57" s="4" t="s">
        <v>5</v>
      </c>
      <c r="H57" s="2">
        <f>$E57*$B$11+$B$10+'Станд.норм.распр.'!B50*$B$12</f>
        <v>339.79797246144153</v>
      </c>
      <c r="I57" s="2">
        <f>$E57*$B$11+$B$10+'Станд.норм.распр.'!C50*$B$12</f>
        <v>336.64402900837013</v>
      </c>
      <c r="J57" s="2">
        <f>$E57*$B$11+$B$10+'Станд.норм.распр.'!D50*$B$12</f>
        <v>337.99138856562786</v>
      </c>
      <c r="K57" s="2">
        <f>$E57*$B$11+$B$10+'Станд.норм.распр.'!E50*$B$12</f>
        <v>342.0142791729304</v>
      </c>
      <c r="L57" s="2">
        <f>$E57*$B$11+$B$10+'Станд.норм.распр.'!F50*$B$12</f>
        <v>339.42981810111087</v>
      </c>
      <c r="M57" s="2">
        <f>$E57*$B$11+$B$10+'Станд.норм.распр.'!G50*$B$12</f>
        <v>338.89314574122545</v>
      </c>
      <c r="N57" s="2">
        <f>$E57*$B$11+$B$10+'Станд.норм.распр.'!H50*$B$12</f>
        <v>344.5457803682657</v>
      </c>
      <c r="O57" s="2">
        <f>$E57*$B$11+$B$10+'Станд.норм.распр.'!I50*$B$12</f>
        <v>340.91521849046694</v>
      </c>
      <c r="P57" s="2">
        <f>$E57*$B$11+$B$10+'Станд.норм.распр.'!J50*$B$12</f>
        <v>340.34053152578417</v>
      </c>
      <c r="Q57" s="2">
        <f>$E57*$B$11+$B$10+'Станд.норм.распр.'!K50*$B$12</f>
        <v>337.80054815548647</v>
      </c>
    </row>
    <row r="58" spans="3:17" x14ac:dyDescent="0.35">
      <c r="C58" s="4" t="s">
        <v>57</v>
      </c>
      <c r="D58" s="4" t="s">
        <v>5</v>
      </c>
      <c r="E58" s="4">
        <v>972</v>
      </c>
      <c r="F58" s="4"/>
      <c r="G58" s="4" t="s">
        <v>5</v>
      </c>
      <c r="H58" s="2">
        <f>$E58*$B$11+$B$10+'Станд.норм.распр.'!B51*$B$12</f>
        <v>979.08765424456215</v>
      </c>
      <c r="I58" s="2">
        <f>$E58*$B$11+$B$10+'Станд.норм.распр.'!C51*$B$12</f>
        <v>975.60147351380147</v>
      </c>
      <c r="J58" s="2">
        <f>$E58*$B$11+$B$10+'Станд.норм.распр.'!D51*$B$12</f>
        <v>978.55015651823487</v>
      </c>
      <c r="K58" s="2">
        <f>$E58*$B$11+$B$10+'Станд.норм.распр.'!E51*$B$12</f>
        <v>973.97196894884109</v>
      </c>
      <c r="L58" s="2">
        <f>$E58*$B$11+$B$10+'Станд.норм.распр.'!F51*$B$12</f>
        <v>969.98615431750659</v>
      </c>
      <c r="M58" s="2">
        <f>$E58*$B$11+$B$10+'Станд.норм.распр.'!G51*$B$12</f>
        <v>969.83989392704098</v>
      </c>
      <c r="N58" s="2">
        <f>$E58*$B$11+$B$10+'Станд.норм.распр.'!H51*$B$12</f>
        <v>972.63482685213967</v>
      </c>
      <c r="O58" s="2">
        <f>$E58*$B$11+$B$10+'Станд.норм.распр.'!I51*$B$12</f>
        <v>974.22477252059616</v>
      </c>
      <c r="P58" s="2">
        <f>$E58*$B$11+$B$10+'Станд.норм.распр.'!J51*$B$12</f>
        <v>972.89001514929987</v>
      </c>
      <c r="Q58" s="2">
        <f>$E58*$B$11+$B$10+'Станд.норм.распр.'!K51*$B$12</f>
        <v>973.8299676917668</v>
      </c>
    </row>
    <row r="59" spans="3:17" x14ac:dyDescent="0.35">
      <c r="C59" s="4" t="s">
        <v>58</v>
      </c>
      <c r="D59" s="4" t="s">
        <v>5</v>
      </c>
      <c r="E59" s="4">
        <v>174</v>
      </c>
      <c r="F59" s="4"/>
      <c r="G59" s="4" t="s">
        <v>5</v>
      </c>
      <c r="H59" s="2">
        <f>$E59*$B$11+$B$10+'Станд.норм.распр.'!B52*$B$12</f>
        <v>177.39783651320613</v>
      </c>
      <c r="I59" s="2">
        <f>$E59*$B$11+$B$10+'Станд.норм.распр.'!C52*$B$12</f>
        <v>174.24746055310243</v>
      </c>
      <c r="J59" s="2">
        <f>$E59*$B$11+$B$10+'Станд.норм.распр.'!D52*$B$12</f>
        <v>178.86191379927914</v>
      </c>
      <c r="K59" s="2">
        <f>$E59*$B$11+$B$10+'Станд.норм.распр.'!E52*$B$12</f>
        <v>172.8804559102864</v>
      </c>
      <c r="L59" s="2">
        <f>$E59*$B$11+$B$10+'Станд.норм.распр.'!F52*$B$12</f>
        <v>172.53115537512349</v>
      </c>
      <c r="M59" s="2">
        <f>$E59*$B$11+$B$10+'Станд.норм.распр.'!G52*$B$12</f>
        <v>175.1875154137233</v>
      </c>
      <c r="N59" s="2">
        <f>$E59*$B$11+$B$10+'Станд.норм.распр.'!H52*$B$12</f>
        <v>171.21920472034253</v>
      </c>
      <c r="O59" s="2">
        <f>$E59*$B$11+$B$10+'Станд.норм.распр.'!I52*$B$12</f>
        <v>176.88007254817057</v>
      </c>
      <c r="P59" s="2">
        <f>$E59*$B$11+$B$10+'Станд.норм.распр.'!J52*$B$12</f>
        <v>178.01102476846424</v>
      </c>
      <c r="Q59" s="2">
        <f>$E59*$B$11+$B$10+'Станд.норм.распр.'!K52*$B$12</f>
        <v>177.00715851658606</v>
      </c>
    </row>
    <row r="60" spans="3:17" x14ac:dyDescent="0.35">
      <c r="C60" s="4" t="s">
        <v>59</v>
      </c>
      <c r="D60" s="4" t="s">
        <v>5</v>
      </c>
      <c r="E60" s="4">
        <v>227</v>
      </c>
      <c r="F60" s="4"/>
      <c r="G60" s="4" t="s">
        <v>5</v>
      </c>
      <c r="H60" s="2">
        <f>$E60*$B$11+$B$10+'Станд.норм.распр.'!B53*$B$12</f>
        <v>224.53011548414361</v>
      </c>
      <c r="I60" s="2">
        <f>$E60*$B$11+$B$10+'Станд.норм.распр.'!C53*$B$12</f>
        <v>234.26987605553586</v>
      </c>
      <c r="J60" s="2">
        <f>$E60*$B$11+$B$10+'Станд.норм.распр.'!D53*$B$12</f>
        <v>225.62959226043313</v>
      </c>
      <c r="K60" s="2">
        <f>$E60*$B$11+$B$10+'Станд.норм.распр.'!E53*$B$12</f>
        <v>230.64958009918337</v>
      </c>
      <c r="L60" s="2">
        <f>$E60*$B$11+$B$10+'Станд.норм.распр.'!F53*$B$12</f>
        <v>226.53532620161423</v>
      </c>
      <c r="M60" s="2">
        <f>$E60*$B$11+$B$10+'Станд.норм.распр.'!G53*$B$12</f>
        <v>233.00654698751168</v>
      </c>
      <c r="N60" s="2">
        <f>$E60*$B$11+$B$10+'Станд.норм.распр.'!H53*$B$12</f>
        <v>228.31112938611477</v>
      </c>
      <c r="O60" s="2">
        <f>$E60*$B$11+$B$10+'Станд.норм.распр.'!I53*$B$12</f>
        <v>222.80945155280642</v>
      </c>
      <c r="P60" s="2">
        <f>$E60*$B$11+$B$10+'Станд.норм.распр.'!J53*$B$12</f>
        <v>228.74644879330299</v>
      </c>
      <c r="Q60" s="2">
        <f>$E60*$B$11+$B$10+'Станд.норм.распр.'!K53*$B$12</f>
        <v>228.40950146992691</v>
      </c>
    </row>
    <row r="61" spans="3:17" x14ac:dyDescent="0.35">
      <c r="C61" s="4" t="s">
        <v>60</v>
      </c>
      <c r="D61" s="4" t="s">
        <v>5</v>
      </c>
      <c r="E61" s="4">
        <v>271</v>
      </c>
      <c r="F61" s="4"/>
      <c r="G61" s="4" t="s">
        <v>5</v>
      </c>
      <c r="H61" s="2">
        <f>$E61*$B$11+$B$10+'Станд.норм.распр.'!B54*$B$12</f>
        <v>268.28189164266223</v>
      </c>
      <c r="I61" s="2">
        <f>$E61*$B$11+$B$10+'Станд.норм.распр.'!C54*$B$12</f>
        <v>273.91198558038741</v>
      </c>
      <c r="J61" s="2">
        <f>$E61*$B$11+$B$10+'Станд.норм.распр.'!D54*$B$12</f>
        <v>272.71395936881891</v>
      </c>
      <c r="K61" s="2">
        <f>$E61*$B$11+$B$10+'Станд.норм.распр.'!E54*$B$12</f>
        <v>276.69882855011383</v>
      </c>
      <c r="L61" s="2">
        <f>$E61*$B$11+$B$10+'Станд.норм.распр.'!F54*$B$12</f>
        <v>274.27039243125182</v>
      </c>
      <c r="M61" s="2">
        <f>$E61*$B$11+$B$10+'Станд.норм.распр.'!G54*$B$12</f>
        <v>271.11814745953598</v>
      </c>
      <c r="N61" s="2">
        <f>$E61*$B$11+$B$10+'Станд.норм.распр.'!H54*$B$12</f>
        <v>271.89394757701666</v>
      </c>
      <c r="O61" s="2">
        <f>$E61*$B$11+$B$10+'Станд.норм.распр.'!I54*$B$12</f>
        <v>270.51112454760005</v>
      </c>
      <c r="P61" s="2">
        <f>$E61*$B$11+$B$10+'Станд.норм.распр.'!J54*$B$12</f>
        <v>275.32578713621479</v>
      </c>
      <c r="Q61" s="2">
        <f>$E61*$B$11+$B$10+'Станд.норм.распр.'!K54*$B$12</f>
        <v>271.41693796345498</v>
      </c>
    </row>
    <row r="62" spans="3:17" x14ac:dyDescent="0.35">
      <c r="C62" s="4" t="s">
        <v>61</v>
      </c>
      <c r="D62" s="4" t="s">
        <v>5</v>
      </c>
      <c r="E62" s="4">
        <v>323</v>
      </c>
      <c r="F62" s="4"/>
      <c r="G62" s="4" t="s">
        <v>5</v>
      </c>
      <c r="H62" s="2">
        <f>$E62*$B$11+$B$10+'Станд.норм.распр.'!B55*$B$12</f>
        <v>325.73253659138572</v>
      </c>
      <c r="I62" s="2">
        <f>$E62*$B$11+$B$10+'Станд.норм.распр.'!C55*$B$12</f>
        <v>322.91801656101597</v>
      </c>
      <c r="J62" s="2">
        <f>$E62*$B$11+$B$10+'Станд.норм.распр.'!D55*$B$12</f>
        <v>326.63039203471271</v>
      </c>
      <c r="K62" s="2">
        <f>$E62*$B$11+$B$10+'Станд.норм.распр.'!E55*$B$12</f>
        <v>325.86642330643372</v>
      </c>
      <c r="L62" s="2">
        <f>$E62*$B$11+$B$10+'Станд.норм.распр.'!F55*$B$12</f>
        <v>329.39737505075755</v>
      </c>
      <c r="M62" s="2">
        <f>$E62*$B$11+$B$10+'Станд.норм.распр.'!G55*$B$12</f>
        <v>322.96650854477775</v>
      </c>
      <c r="N62" s="2">
        <f>$E62*$B$11+$B$10+'Станд.норм.распр.'!H55*$B$12</f>
        <v>319.98155375476927</v>
      </c>
      <c r="O62" s="2">
        <f>$E62*$B$11+$B$10+'Станд.норм.распр.'!I55*$B$12</f>
        <v>327.83310782833723</v>
      </c>
      <c r="P62" s="2">
        <f>$E62*$B$11+$B$10+'Станд.норм.распр.'!J55*$B$12</f>
        <v>324.71603301673895</v>
      </c>
      <c r="Q62" s="2">
        <f>$E62*$B$11+$B$10+'Станд.норм.распр.'!K55*$B$12</f>
        <v>323.31990180609864</v>
      </c>
    </row>
    <row r="63" spans="3:17" x14ac:dyDescent="0.35">
      <c r="C63" s="4" t="s">
        <v>62</v>
      </c>
      <c r="D63" s="4" t="s">
        <v>5</v>
      </c>
      <c r="E63" s="4">
        <v>383</v>
      </c>
      <c r="F63" s="4"/>
      <c r="G63" s="4" t="s">
        <v>5</v>
      </c>
      <c r="H63" s="2">
        <f>$E63*$B$11+$B$10+'Станд.норм.распр.'!B56*$B$12</f>
        <v>379.31533979077358</v>
      </c>
      <c r="I63" s="2">
        <f>$E63*$B$11+$B$10+'Станд.норм.распр.'!C56*$B$12</f>
        <v>389.86005774291698</v>
      </c>
      <c r="J63" s="2">
        <f>$E63*$B$11+$B$10+'Станд.норм.распр.'!D56*$B$12</f>
        <v>389.65742687083548</v>
      </c>
      <c r="K63" s="2">
        <f>$E63*$B$11+$B$10+'Станд.норм.распр.'!E56*$B$12</f>
        <v>385.59260287343932</v>
      </c>
      <c r="L63" s="2">
        <f>$E63*$B$11+$B$10+'Станд.норм.распр.'!F56*$B$12</f>
        <v>384.70888779898814</v>
      </c>
      <c r="M63" s="2">
        <f>$E63*$B$11+$B$10+'Станд.норм.распр.'!G56*$B$12</f>
        <v>383.86096361478849</v>
      </c>
      <c r="N63" s="2">
        <f>$E63*$B$11+$B$10+'Станд.норм.распр.'!H56*$B$12</f>
        <v>382.57849082016037</v>
      </c>
      <c r="O63" s="2">
        <f>$E63*$B$11+$B$10+'Станд.норм.распр.'!I56*$B$12</f>
        <v>387.91003061647643</v>
      </c>
      <c r="P63" s="2">
        <f>$E63*$B$11+$B$10+'Станд.норм.распр.'!J56*$B$12</f>
        <v>384.72963451000396</v>
      </c>
      <c r="Q63" s="2">
        <f>$E63*$B$11+$B$10+'Станд.норм.распр.'!K56*$B$12</f>
        <v>381.28886598657118</v>
      </c>
    </row>
    <row r="64" spans="3:17" x14ac:dyDescent="0.35">
      <c r="C64" s="4" t="s">
        <v>63</v>
      </c>
      <c r="D64" s="4" t="s">
        <v>5</v>
      </c>
      <c r="E64" s="4">
        <v>294</v>
      </c>
      <c r="F64" s="4"/>
      <c r="G64" s="4" t="s">
        <v>5</v>
      </c>
      <c r="H64" s="2">
        <f>$E64*$B$11+$B$10+'Станд.норм.распр.'!B57*$B$12</f>
        <v>295.01273213254171</v>
      </c>
      <c r="I64" s="2">
        <f>$E64*$B$11+$B$10+'Станд.норм.распр.'!C57*$B$12</f>
        <v>295.73977082845522</v>
      </c>
      <c r="J64" s="2">
        <f>$E64*$B$11+$B$10+'Станд.норм.распр.'!D57*$B$12</f>
        <v>298.42405349126784</v>
      </c>
      <c r="K64" s="2">
        <f>$E64*$B$11+$B$10+'Станд.норм.распр.'!E57*$B$12</f>
        <v>301.45582224731334</v>
      </c>
      <c r="L64" s="2">
        <f>$E64*$B$11+$B$10+'Станд.норм.распр.'!F57*$B$12</f>
        <v>297.12917632577592</v>
      </c>
      <c r="M64" s="2">
        <f>$E64*$B$11+$B$10+'Станд.норм.распр.'!G57*$B$12</f>
        <v>298.00958993445965</v>
      </c>
      <c r="N64" s="2">
        <f>$E64*$B$11+$B$10+'Станд.норм.распр.'!H57*$B$12</f>
        <v>295.86991476058029</v>
      </c>
      <c r="O64" s="2">
        <f>$E64*$B$11+$B$10+'Станд.норм.распр.'!I57*$B$12</f>
        <v>295.70612179822638</v>
      </c>
      <c r="P64" s="2">
        <f>$E64*$B$11+$B$10+'Станд.норм.распр.'!J57*$B$12</f>
        <v>294.25000930589158</v>
      </c>
      <c r="Q64" s="2">
        <f>$E64*$B$11+$B$10+'Станд.норм.распр.'!K57*$B$12</f>
        <v>299.10108589474112</v>
      </c>
    </row>
    <row r="65" spans="3:17" x14ac:dyDescent="0.35">
      <c r="C65" s="4" t="s">
        <v>64</v>
      </c>
      <c r="D65" s="4" t="s">
        <v>5</v>
      </c>
      <c r="E65" s="4">
        <v>331</v>
      </c>
      <c r="F65" s="4"/>
      <c r="G65" s="4" t="s">
        <v>5</v>
      </c>
      <c r="H65" s="2">
        <f>$E65*$B$11+$B$10+'Станд.норм.распр.'!B58*$B$12</f>
        <v>333.54190422815736</v>
      </c>
      <c r="I65" s="2">
        <f>$E65*$B$11+$B$10+'Станд.норм.распр.'!C58*$B$12</f>
        <v>332.61256889946526</v>
      </c>
      <c r="J65" s="2">
        <f>$E65*$B$11+$B$10+'Станд.норм.распр.'!D58*$B$12</f>
        <v>334.89304273590096</v>
      </c>
      <c r="K65" s="2">
        <f>$E65*$B$11+$B$10+'Станд.норм.распр.'!E58*$B$12</f>
        <v>332.4597294517007</v>
      </c>
      <c r="L65" s="2">
        <f>$E65*$B$11+$B$10+'Станд.норм.распр.'!F58*$B$12</f>
        <v>337.95181666337885</v>
      </c>
      <c r="M65" s="2">
        <f>$E65*$B$11+$B$10+'Станд.норм.распр.'!G58*$B$12</f>
        <v>331.72684497859154</v>
      </c>
      <c r="N65" s="2">
        <f>$E65*$B$11+$B$10+'Станд.норм.распр.'!H58*$B$12</f>
        <v>330.21457243140321</v>
      </c>
      <c r="O65" s="2">
        <f>$E65*$B$11+$B$10+'Станд.норм.распр.'!I58*$B$12</f>
        <v>331.36162032806897</v>
      </c>
      <c r="P65" s="2">
        <f>$E65*$B$11+$B$10+'Станд.норм.распр.'!J58*$B$12</f>
        <v>335.29122406381066</v>
      </c>
      <c r="Q65" s="2">
        <f>$E65*$B$11+$B$10+'Станд.норм.распр.'!K58*$B$12</f>
        <v>332.76993422023952</v>
      </c>
    </row>
    <row r="66" spans="3:17" x14ac:dyDescent="0.35">
      <c r="C66" s="4" t="s">
        <v>65</v>
      </c>
      <c r="D66" s="4" t="s">
        <v>5</v>
      </c>
      <c r="E66" s="4">
        <v>908</v>
      </c>
      <c r="F66" s="4"/>
      <c r="G66" s="4" t="s">
        <v>5</v>
      </c>
      <c r="H66" s="2">
        <f>$E66*$B$11+$B$10+'Станд.норм.распр.'!B59*$B$12</f>
        <v>908.8604690770444</v>
      </c>
      <c r="I66" s="2">
        <f>$E66*$B$11+$B$10+'Станд.норм.распр.'!C59*$B$12</f>
        <v>906.42883722117404</v>
      </c>
      <c r="J66" s="2">
        <f>$E66*$B$11+$B$10+'Станд.норм.распр.'!D59*$B$12</f>
        <v>909.71465172166063</v>
      </c>
      <c r="K66" s="2">
        <f>$E66*$B$11+$B$10+'Станд.норм.распр.'!E59*$B$12</f>
        <v>908.07548761054932</v>
      </c>
      <c r="L66" s="2">
        <f>$E66*$B$11+$B$10+'Станд.норм.распр.'!F59*$B$12</f>
        <v>908.66200596443377</v>
      </c>
      <c r="M66" s="2">
        <f>$E66*$B$11+$B$10+'Станд.норм.распр.'!G59*$B$12</f>
        <v>905.40659700869583</v>
      </c>
      <c r="N66" s="2">
        <f>$E66*$B$11+$B$10+'Станд.норм.распр.'!H59*$B$12</f>
        <v>917.22731783753261</v>
      </c>
      <c r="O66" s="2">
        <f>$E66*$B$11+$B$10+'Станд.норм.распр.'!I59*$B$12</f>
        <v>907.52437815914163</v>
      </c>
      <c r="P66" s="2">
        <f>$E66*$B$11+$B$10+'Станд.норм.распр.'!J59*$B$12</f>
        <v>911.94854010260315</v>
      </c>
      <c r="Q66" s="2">
        <f>$E66*$B$11+$B$10+'Станд.норм.распр.'!K59*$B$12</f>
        <v>907.73541276226752</v>
      </c>
    </row>
    <row r="67" spans="3:17" x14ac:dyDescent="0.35">
      <c r="C67" s="4" t="s">
        <v>66</v>
      </c>
      <c r="D67" s="4" t="s">
        <v>5</v>
      </c>
      <c r="E67" s="4">
        <v>152</v>
      </c>
      <c r="F67" s="4"/>
      <c r="G67" s="4" t="s">
        <v>5</v>
      </c>
      <c r="H67" s="2">
        <f>$E67*$B$11+$B$10+'Станд.норм.распр.'!B60*$B$12</f>
        <v>151.23428572906414</v>
      </c>
      <c r="I67" s="2">
        <f>$E67*$B$11+$B$10+'Станд.норм.распр.'!C60*$B$12</f>
        <v>149.53568159171846</v>
      </c>
      <c r="J67" s="2">
        <f>$E67*$B$11+$B$10+'Станд.норм.распр.'!D60*$B$12</f>
        <v>158.36273694504052</v>
      </c>
      <c r="K67" s="2">
        <f>$E67*$B$11+$B$10+'Станд.норм.распр.'!E60*$B$12</f>
        <v>152.55672740523005</v>
      </c>
      <c r="L67" s="2">
        <f>$E67*$B$11+$B$10+'Станд.норм.распр.'!F60*$B$12</f>
        <v>151.71951252114377</v>
      </c>
      <c r="M67" s="2">
        <f>$E67*$B$11+$B$10+'Станд.норм.распр.'!G60*$B$12</f>
        <v>153.71303850543336</v>
      </c>
      <c r="N67" s="2">
        <f>$E67*$B$11+$B$10+'Станд.норм.распр.'!H60*$B$12</f>
        <v>152.06690073758364</v>
      </c>
      <c r="O67" s="2">
        <f>$E67*$B$11+$B$10+'Станд.норм.распр.'!I60*$B$12</f>
        <v>150.39552243024809</v>
      </c>
      <c r="P67" s="2">
        <f>$E67*$B$11+$B$10+'Станд.норм.распр.'!J60*$B$12</f>
        <v>150.1554976835032</v>
      </c>
      <c r="Q67" s="2">
        <f>$E67*$B$11+$B$10+'Станд.норм.распр.'!K60*$B$12</f>
        <v>151.09254097979283</v>
      </c>
    </row>
    <row r="68" spans="3:17" x14ac:dyDescent="0.35">
      <c r="C68" s="4" t="s">
        <v>67</v>
      </c>
      <c r="D68" s="4" t="s">
        <v>5</v>
      </c>
      <c r="E68" s="4">
        <v>593</v>
      </c>
      <c r="F68" s="4"/>
      <c r="G68" s="4" t="s">
        <v>5</v>
      </c>
      <c r="H68" s="2">
        <f>$E68*$B$11+$B$10+'Станд.норм.распр.'!B61*$B$12</f>
        <v>597.07702100851748</v>
      </c>
      <c r="I68" s="2">
        <f>$E68*$B$11+$B$10+'Станд.норм.распр.'!C61*$B$12</f>
        <v>594.3522988006589</v>
      </c>
      <c r="J68" s="2">
        <f>$E68*$B$11+$B$10+'Станд.норм.распр.'!D61*$B$12</f>
        <v>591.28294517606264</v>
      </c>
      <c r="K68" s="2">
        <f>$E68*$B$11+$B$10+'Станд.норм.распр.'!E61*$B$12</f>
        <v>593.89198306846083</v>
      </c>
      <c r="L68" s="2">
        <f>$E68*$B$11+$B$10+'Станд.норм.распр.'!F61*$B$12</f>
        <v>593.17784669176035</v>
      </c>
      <c r="M68" s="2">
        <f>$E68*$B$11+$B$10+'Станд.норм.распр.'!G61*$B$12</f>
        <v>598.5772336559603</v>
      </c>
      <c r="N68" s="2">
        <f>$E68*$B$11+$B$10+'Станд.норм.распр.'!H61*$B$12</f>
        <v>597.50607854468399</v>
      </c>
      <c r="O68" s="2">
        <f>$E68*$B$11+$B$10+'Станд.норм.распр.'!I61*$B$12</f>
        <v>593.79905772104394</v>
      </c>
      <c r="P68" s="2">
        <f>$E68*$B$11+$B$10+'Станд.норм.распр.'!J61*$B$12</f>
        <v>598.44211230185465</v>
      </c>
      <c r="Q68" s="2">
        <f>$E68*$B$11+$B$10+'Станд.норм.распр.'!K61*$B$12</f>
        <v>593.05890627915505</v>
      </c>
    </row>
    <row r="69" spans="3:17" x14ac:dyDescent="0.35">
      <c r="C69" s="4" t="s">
        <v>68</v>
      </c>
      <c r="D69" s="4" t="s">
        <v>5</v>
      </c>
      <c r="E69" s="4">
        <v>392</v>
      </c>
      <c r="F69" s="4"/>
      <c r="G69" s="4" t="s">
        <v>5</v>
      </c>
      <c r="H69" s="2">
        <f>$E69*$B$11+$B$10+'Станд.норм.распр.'!B62*$B$12</f>
        <v>395.41115151564009</v>
      </c>
      <c r="I69" s="2">
        <f>$E69*$B$11+$B$10+'Станд.норм.распр.'!C62*$B$12</f>
        <v>389.46500021097017</v>
      </c>
      <c r="J69" s="2">
        <f>$E69*$B$11+$B$10+'Станд.норм.распр.'!D62*$B$12</f>
        <v>396.78542756859679</v>
      </c>
      <c r="K69" s="2">
        <f>$E69*$B$11+$B$10+'Станд.норм.распр.'!E62*$B$12</f>
        <v>394.37077370507177</v>
      </c>
      <c r="L69" s="2">
        <f>$E69*$B$11+$B$10+'Станд.норм.распр.'!F62*$B$12</f>
        <v>396.50327058590483</v>
      </c>
      <c r="M69" s="2">
        <f>$E69*$B$11+$B$10+'Станд.норм.распр.'!G62*$B$12</f>
        <v>391.25946281614597</v>
      </c>
      <c r="N69" s="2">
        <f>$E69*$B$11+$B$10+'Станд.норм.распр.'!H62*$B$12</f>
        <v>400.24359017820098</v>
      </c>
      <c r="O69" s="2">
        <f>$E69*$B$11+$B$10+'Станд.норм.распр.'!I62*$B$12</f>
        <v>394.56945168580569</v>
      </c>
      <c r="P69" s="2">
        <f>$E69*$B$11+$B$10+'Станд.норм.распр.'!J62*$B$12</f>
        <v>395.54512008521124</v>
      </c>
      <c r="Q69" s="2">
        <f>$E69*$B$11+$B$10+'Станд.норм.распр.'!K62*$B$12</f>
        <v>396.35878133025835</v>
      </c>
    </row>
    <row r="70" spans="3:17" x14ac:dyDescent="0.35">
      <c r="C70" s="4" t="s">
        <v>69</v>
      </c>
      <c r="D70" s="4" t="s">
        <v>5</v>
      </c>
      <c r="E70" s="4">
        <v>407</v>
      </c>
      <c r="F70" s="4"/>
      <c r="G70" s="4" t="s">
        <v>5</v>
      </c>
      <c r="H70" s="2">
        <f>$E70*$B$11+$B$10+'Станд.норм.распр.'!B63*$B$12</f>
        <v>414.11492544319481</v>
      </c>
      <c r="I70" s="2">
        <f>$E70*$B$11+$B$10+'Станд.норм.распр.'!C63*$B$12</f>
        <v>410.34966512632673</v>
      </c>
      <c r="J70" s="2">
        <f>$E70*$B$11+$B$10+'Станд.норм.распр.'!D63*$B$12</f>
        <v>408.6345468389336</v>
      </c>
      <c r="K70" s="2">
        <f>$E70*$B$11+$B$10+'Станд.норм.распр.'!E63*$B$12</f>
        <v>410.89136130757106</v>
      </c>
      <c r="L70" s="2">
        <f>$E70*$B$11+$B$10+'Станд.норм.распр.'!F63*$B$12</f>
        <v>410.78695245267591</v>
      </c>
      <c r="M70" s="2">
        <f>$E70*$B$11+$B$10+'Станд.норм.распр.'!G63*$B$12</f>
        <v>412.1333706829173</v>
      </c>
      <c r="N70" s="2">
        <f>$E70*$B$11+$B$10+'Станд.норм.распр.'!H63*$B$12</f>
        <v>404.45418177149259</v>
      </c>
      <c r="O70" s="2">
        <f>$E70*$B$11+$B$10+'Станд.норм.распр.'!I63*$B$12</f>
        <v>406.71000375403673</v>
      </c>
      <c r="P70" s="2">
        <f>$E70*$B$11+$B$10+'Станд.норм.распр.'!J63*$B$12</f>
        <v>406.68936959299026</v>
      </c>
      <c r="Q70" s="2">
        <f>$E70*$B$11+$B$10+'Станд.норм.распр.'!K63*$B$12</f>
        <v>408.31772549643938</v>
      </c>
    </row>
    <row r="71" spans="3:17" x14ac:dyDescent="0.35">
      <c r="C71" s="4" t="s">
        <v>70</v>
      </c>
      <c r="D71" s="4" t="s">
        <v>5</v>
      </c>
      <c r="E71" s="4">
        <v>211</v>
      </c>
      <c r="F71" s="4"/>
      <c r="G71" s="4" t="s">
        <v>5</v>
      </c>
      <c r="H71" s="2">
        <f>$E71*$B$11+$B$10+'Станд.норм.распр.'!B64*$B$12</f>
        <v>212.31348611426074</v>
      </c>
      <c r="I71" s="2">
        <f>$E71*$B$11+$B$10+'Станд.норм.распр.'!C64*$B$12</f>
        <v>215.33230139201623</v>
      </c>
      <c r="J71" s="2">
        <f>$E71*$B$11+$B$10+'Станд.норм.распр.'!D64*$B$12</f>
        <v>209.09204678563401</v>
      </c>
      <c r="K71" s="2">
        <f>$E71*$B$11+$B$10+'Станд.норм.распр.'!E64*$B$12</f>
        <v>210.87723936606199</v>
      </c>
      <c r="L71" s="2">
        <f>$E71*$B$11+$B$10+'Станд.норм.распр.'!F64*$B$12</f>
        <v>211.78113158047199</v>
      </c>
      <c r="M71" s="2">
        <f>$E71*$B$11+$B$10+'Станд.норм.распр.'!G64*$B$12</f>
        <v>216.97320491174469</v>
      </c>
      <c r="N71" s="2">
        <f>$E71*$B$11+$B$10+'Станд.норм.распр.'!H64*$B$12</f>
        <v>214.31420847537811</v>
      </c>
      <c r="O71" s="2">
        <f>$E71*$B$11+$B$10+'Станд.норм.распр.'!I64*$B$12</f>
        <v>212.72778937262774</v>
      </c>
      <c r="P71" s="2">
        <f>$E71*$B$11+$B$10+'Станд.норм.распр.'!J64*$B$12</f>
        <v>216.75393028662074</v>
      </c>
      <c r="Q71" s="2">
        <f>$E71*$B$11+$B$10+'Станд.норм.распр.'!K64*$B$12</f>
        <v>213.71151021074911</v>
      </c>
    </row>
    <row r="72" spans="3:17" x14ac:dyDescent="0.35">
      <c r="C72" s="4" t="s">
        <v>71</v>
      </c>
      <c r="D72" s="4" t="s">
        <v>5</v>
      </c>
      <c r="E72" s="4">
        <v>942</v>
      </c>
      <c r="F72" s="4"/>
      <c r="G72" s="4" t="s">
        <v>5</v>
      </c>
      <c r="H72" s="2">
        <f>$E72*$B$11+$B$10+'Станд.норм.распр.'!B65*$B$12</f>
        <v>943.39381950753159</v>
      </c>
      <c r="I72" s="2">
        <f>$E72*$B$11+$B$10+'Станд.норм.распр.'!C65*$B$12</f>
        <v>942.55672740523005</v>
      </c>
      <c r="J72" s="2">
        <f>$E72*$B$11+$B$10+'Станд.норм.распр.'!D65*$B$12</f>
        <v>944.07195353646239</v>
      </c>
      <c r="K72" s="2">
        <f>$E72*$B$11+$B$10+'Станд.норм.распр.'!E65*$B$12</f>
        <v>948.90405454911524</v>
      </c>
      <c r="L72" s="2">
        <f>$E72*$B$11+$B$10+'Станд.норм.распр.'!F65*$B$12</f>
        <v>939.42356817983091</v>
      </c>
      <c r="M72" s="2">
        <f>$E72*$B$11+$B$10+'Станд.норм.распр.'!G65*$B$12</f>
        <v>946.12394070331356</v>
      </c>
      <c r="N72" s="2">
        <f>$E72*$B$11+$B$10+'Станд.норм.распр.'!H65*$B$12</f>
        <v>944.2263823262183</v>
      </c>
      <c r="O72" s="2">
        <f>$E72*$B$11+$B$10+'Станд.норм.распр.'!I65*$B$12</f>
        <v>939.83207682007924</v>
      </c>
      <c r="P72" s="2">
        <f>$E72*$B$11+$B$10+'Станд.норм.распр.'!J65*$B$12</f>
        <v>950.24359017820098</v>
      </c>
      <c r="Q72" s="2">
        <f>$E72*$B$11+$B$10+'Станд.норм.распр.'!K65*$B$12</f>
        <v>945.68977067005471</v>
      </c>
    </row>
    <row r="73" spans="3:17" x14ac:dyDescent="0.35">
      <c r="C73" s="4" t="s">
        <v>72</v>
      </c>
      <c r="D73" s="4" t="s">
        <v>5</v>
      </c>
      <c r="E73" s="4">
        <v>785</v>
      </c>
      <c r="F73" s="4"/>
      <c r="G73" s="4" t="s">
        <v>5</v>
      </c>
      <c r="H73" s="2">
        <f>$E73*$B$11+$B$10+'Станд.норм.распр.'!B66*$B$12</f>
        <v>783.95783571951324</v>
      </c>
      <c r="I73" s="2">
        <f>$E73*$B$11+$B$10+'Станд.норм.распр.'!C66*$B$12</f>
        <v>788.35551090352237</v>
      </c>
      <c r="J73" s="2">
        <f>$E73*$B$11+$B$10+'Станд.норм.распр.'!D66*$B$12</f>
        <v>791.24895915784873</v>
      </c>
      <c r="K73" s="2">
        <f>$E73*$B$11+$B$10+'Станд.норм.распр.'!E66*$B$12</f>
        <v>786.42493786875275</v>
      </c>
      <c r="L73" s="2">
        <f>$E73*$B$11+$B$10+'Станд.норм.распр.'!F66*$B$12</f>
        <v>788.45254499936709</v>
      </c>
      <c r="M73" s="2">
        <f>$E73*$B$11+$B$10+'Станд.норм.распр.'!G66*$B$12</f>
        <v>789.19323293701746</v>
      </c>
      <c r="N73" s="2">
        <f>$E73*$B$11+$B$10+'Станд.норм.распр.'!H66*$B$12</f>
        <v>788.62773176271003</v>
      </c>
      <c r="O73" s="2">
        <f>$E73*$B$11+$B$10+'Станд.норм.распр.'!I66*$B$12</f>
        <v>781.07048562716227</v>
      </c>
      <c r="P73" s="2">
        <f>$E73*$B$11+$B$10+'Станд.норм.распр.'!J66*$B$12</f>
        <v>785.92092205300287</v>
      </c>
      <c r="Q73" s="2">
        <f>$E73*$B$11+$B$10+'Станд.норм.распр.'!K66*$B$12</f>
        <v>785.22809513716493</v>
      </c>
    </row>
    <row r="74" spans="3:17" x14ac:dyDescent="0.35">
      <c r="C74" s="4" t="s">
        <v>73</v>
      </c>
      <c r="D74" s="4" t="s">
        <v>5</v>
      </c>
      <c r="E74" s="4">
        <v>896</v>
      </c>
      <c r="F74" s="4"/>
      <c r="G74" s="4" t="s">
        <v>5</v>
      </c>
      <c r="H74" s="2">
        <f>$E74*$B$11+$B$10+'Станд.норм.распр.'!B67*$B$12</f>
        <v>898.06070536073821</v>
      </c>
      <c r="I74" s="2">
        <f>$E74*$B$11+$B$10+'Станд.норм.распр.'!C67*$B$12</f>
        <v>898.90453681877989</v>
      </c>
      <c r="J74" s="2">
        <f>$E74*$B$11+$B$10+'Станд.норм.распр.'!D67*$B$12</f>
        <v>894.83517671655864</v>
      </c>
      <c r="K74" s="2">
        <f>$E74*$B$11+$B$10+'Станд.норм.распр.'!E67*$B$12</f>
        <v>901.74740920960903</v>
      </c>
      <c r="L74" s="2">
        <f>$E74*$B$11+$B$10+'Станд.норм.распр.'!F67*$B$12</f>
        <v>897.71580450619513</v>
      </c>
      <c r="M74" s="2">
        <f>$E74*$B$11+$B$10+'Станд.норм.распр.'!G67*$B$12</f>
        <v>894.82635007047793</v>
      </c>
      <c r="N74" s="2">
        <f>$E74*$B$11+$B$10+'Станд.норм.распр.'!H67*$B$12</f>
        <v>893.33104528381955</v>
      </c>
      <c r="O74" s="2">
        <f>$E74*$B$11+$B$10+'Станд.норм.распр.'!I67*$B$12</f>
        <v>900.93400034934166</v>
      </c>
      <c r="P74" s="2">
        <f>$E74*$B$11+$B$10+'Станд.норм.распр.'!J67*$B$12</f>
        <v>902.14575424656505</v>
      </c>
      <c r="Q74" s="2">
        <f>$E74*$B$11+$B$10+'Станд.норм.распр.'!K67*$B$12</f>
        <v>898.08595748113294</v>
      </c>
    </row>
    <row r="75" spans="3:17" x14ac:dyDescent="0.35">
      <c r="C75" s="4" t="s">
        <v>74</v>
      </c>
      <c r="D75" s="4" t="s">
        <v>5</v>
      </c>
      <c r="E75" s="4">
        <v>920</v>
      </c>
      <c r="F75" s="4"/>
      <c r="G75" s="4" t="s">
        <v>5</v>
      </c>
      <c r="H75" s="2">
        <f>$E75*$B$11+$B$10+'Станд.норм.распр.'!B68*$B$12</f>
        <v>923.54328517965041</v>
      </c>
      <c r="I75" s="2">
        <f>$E75*$B$11+$B$10+'Станд.норм.распр.'!C68*$B$12</f>
        <v>922.12155055628682</v>
      </c>
      <c r="J75" s="2">
        <f>$E75*$B$11+$B$10+'Станд.норм.распр.'!D68*$B$12</f>
        <v>920.81023768466548</v>
      </c>
      <c r="K75" s="2">
        <f>$E75*$B$11+$B$10+'Станд.норм.распр.'!E68*$B$12</f>
        <v>919.29411456428352</v>
      </c>
      <c r="L75" s="2">
        <f>$E75*$B$11+$B$10+'Станд.норм.распр.'!F68*$B$12</f>
        <v>920.28191448614234</v>
      </c>
      <c r="M75" s="2">
        <f>$E75*$B$11+$B$10+'Станд.норм.распр.'!G68*$B$12</f>
        <v>922.66438929025026</v>
      </c>
      <c r="N75" s="2">
        <f>$E75*$B$11+$B$10+'Станд.норм.распр.'!H68*$B$12</f>
        <v>921.08032009443559</v>
      </c>
      <c r="O75" s="2">
        <f>$E75*$B$11+$B$10+'Станд.норм.распр.'!I68*$B$12</f>
        <v>925.89512251786073</v>
      </c>
      <c r="P75" s="2">
        <f>$E75*$B$11+$B$10+'Станд.норм.распр.'!J68*$B$12</f>
        <v>925.10657014779281</v>
      </c>
      <c r="Q75" s="2">
        <f>$E75*$B$11+$B$10+'Станд.норм.распр.'!K68*$B$12</f>
        <v>921.59613319333585</v>
      </c>
    </row>
    <row r="76" spans="3:17" x14ac:dyDescent="0.35">
      <c r="C76" s="4" t="s">
        <v>75</v>
      </c>
      <c r="D76" s="4" t="s">
        <v>5</v>
      </c>
      <c r="E76" s="4">
        <v>147</v>
      </c>
      <c r="F76" s="4"/>
      <c r="G76" s="4" t="s">
        <v>5</v>
      </c>
      <c r="H76" s="2">
        <f>$E76*$B$11+$B$10+'Станд.норм.распр.'!B69*$B$12</f>
        <v>145.48415723640937</v>
      </c>
      <c r="I76" s="2">
        <f>$E76*$B$11+$B$10+'Станд.норм.распр.'!C69*$B$12</f>
        <v>151.01648617803585</v>
      </c>
      <c r="J76" s="2">
        <f>$E76*$B$11+$B$10+'Станд.норм.распр.'!D69*$B$12</f>
        <v>152.35492359226919</v>
      </c>
      <c r="K76" s="2">
        <f>$E76*$B$11+$B$10+'Станд.норм.распр.'!E69*$B$12</f>
        <v>149.43028194340877</v>
      </c>
      <c r="L76" s="2">
        <f>$E76*$B$11+$B$10+'Станд.норм.распр.'!F69*$B$12</f>
        <v>149.98194050224265</v>
      </c>
      <c r="M76" s="2">
        <f>$E76*$B$11+$B$10+'Станд.норм.распр.'!G69*$B$12</f>
        <v>150.75989271156141</v>
      </c>
      <c r="N76" s="2">
        <f>$E76*$B$11+$B$10+'Станд.норм.распр.'!H69*$B$12</f>
        <v>150.56033820530865</v>
      </c>
      <c r="O76" s="2">
        <f>$E76*$B$11+$B$10+'Станд.норм.распр.'!I69*$B$12</f>
        <v>148.64864628054784</v>
      </c>
      <c r="P76" s="2">
        <f>$E76*$B$11+$B$10+'Станд.норм.распр.'!J69*$B$12</f>
        <v>150.57191379912547</v>
      </c>
      <c r="Q76" s="2">
        <f>$E76*$B$11+$B$10+'Станд.норм.распр.'!K69*$B$12</f>
        <v>155.39327481621876</v>
      </c>
    </row>
    <row r="77" spans="3:17" x14ac:dyDescent="0.35">
      <c r="C77" s="4" t="s">
        <v>76</v>
      </c>
      <c r="D77" s="4" t="s">
        <v>5</v>
      </c>
      <c r="E77" s="4">
        <v>712</v>
      </c>
      <c r="F77" s="4"/>
      <c r="G77" s="4" t="s">
        <v>5</v>
      </c>
      <c r="H77" s="2">
        <f>$E77*$B$11+$B$10+'Станд.норм.распр.'!B70*$B$12</f>
        <v>711.36707422925974</v>
      </c>
      <c r="I77" s="2">
        <f>$E77*$B$11+$B$10+'Станд.норм.распр.'!C70*$B$12</f>
        <v>713.40622728900053</v>
      </c>
      <c r="J77" s="2">
        <f>$E77*$B$11+$B$10+'Станд.норм.распр.'!D70*$B$12</f>
        <v>711.61486833449453</v>
      </c>
      <c r="K77" s="2">
        <f>$E77*$B$11+$B$10+'Станд.норм.распр.'!E70*$B$12</f>
        <v>711.34474158685771</v>
      </c>
      <c r="L77" s="2">
        <f>$E77*$B$11+$B$10+'Станд.норм.распр.'!F70*$B$12</f>
        <v>714.08848473953549</v>
      </c>
      <c r="M77" s="2">
        <f>$E77*$B$11+$B$10+'Станд.норм.распр.'!G70*$B$12</f>
        <v>708.16003447549883</v>
      </c>
      <c r="N77" s="2">
        <f>$E77*$B$11+$B$10+'Станд.норм.распр.'!H70*$B$12</f>
        <v>710.87769332012977</v>
      </c>
      <c r="O77" s="2">
        <f>$E77*$B$11+$B$10+'Станд.норм.распр.'!I70*$B$12</f>
        <v>712.16209310665727</v>
      </c>
      <c r="P77" s="2">
        <f>$E77*$B$11+$B$10+'Станд.норм.распр.'!J70*$B$12</f>
        <v>712.53504277780303</v>
      </c>
      <c r="Q77" s="2">
        <f>$E77*$B$11+$B$10+'Станд.норм.распр.'!K70*$B$12</f>
        <v>712.90435436402913</v>
      </c>
    </row>
    <row r="78" spans="3:17" x14ac:dyDescent="0.35">
      <c r="C78" s="4" t="s">
        <v>77</v>
      </c>
      <c r="D78" s="4" t="s">
        <v>5</v>
      </c>
      <c r="E78" s="4">
        <v>418</v>
      </c>
      <c r="F78" s="4"/>
      <c r="G78" s="4" t="s">
        <v>5</v>
      </c>
      <c r="H78" s="2">
        <f>$E78*$B$11+$B$10+'Станд.норм.распр.'!B71*$B$12</f>
        <v>423.19831304598483</v>
      </c>
      <c r="I78" s="2">
        <f>$E78*$B$11+$B$10+'Станд.норм.распр.'!C71*$B$12</f>
        <v>418.76466517889639</v>
      </c>
      <c r="J78" s="2">
        <f>$E78*$B$11+$B$10+'Станд.норм.распр.'!D71*$B$12</f>
        <v>416.13664385833545</v>
      </c>
      <c r="K78" s="2">
        <f>$E78*$B$11+$B$10+'Станд.норм.распр.'!E71*$B$12</f>
        <v>416.35696894983994</v>
      </c>
      <c r="L78" s="2">
        <f>$E78*$B$11+$B$10+'Станд.норм.распр.'!F71*$B$12</f>
        <v>420.58698560678749</v>
      </c>
      <c r="M78" s="2">
        <f>$E78*$B$11+$B$10+'Станд.норм.распр.'!G71*$B$12</f>
        <v>417.76187223687884</v>
      </c>
      <c r="N78" s="2">
        <f>$E78*$B$11+$B$10+'Станд.норм.распр.'!H71*$B$12</f>
        <v>418.85035322222393</v>
      </c>
      <c r="O78" s="2">
        <f>$E78*$B$11+$B$10+'Станд.норм.распр.'!I71*$B$12</f>
        <v>422.01677266886691</v>
      </c>
      <c r="P78" s="2">
        <f>$E78*$B$11+$B$10+'Станд.норм.распр.'!J71*$B$12</f>
        <v>416.84915337638813</v>
      </c>
      <c r="Q78" s="2">
        <f>$E78*$B$11+$B$10+'Станд.норм.распр.'!K71*$B$12</f>
        <v>424.17576757172355</v>
      </c>
    </row>
    <row r="79" spans="3:17" x14ac:dyDescent="0.35">
      <c r="C79" s="4" t="s">
        <v>78</v>
      </c>
      <c r="D79" s="4" t="s">
        <v>5</v>
      </c>
      <c r="E79" s="4">
        <v>876</v>
      </c>
      <c r="F79" s="4"/>
      <c r="G79" s="4" t="s">
        <v>5</v>
      </c>
      <c r="H79" s="2">
        <f>$E79*$B$11+$B$10+'Станд.норм.распр.'!B72*$B$12</f>
        <v>879.35347477225878</v>
      </c>
      <c r="I79" s="2">
        <f>$E79*$B$11+$B$10+'Станд.норм.распр.'!C72*$B$12</f>
        <v>874.56762156519108</v>
      </c>
      <c r="J79" s="2">
        <f>$E79*$B$11+$B$10+'Станд.норм.распр.'!D72*$B$12</f>
        <v>875.54688815301051</v>
      </c>
      <c r="K79" s="2">
        <f>$E79*$B$11+$B$10+'Станд.норм.распр.'!E72*$B$12</f>
        <v>875.16366573920823</v>
      </c>
      <c r="L79" s="2">
        <f>$E79*$B$11+$B$10+'Станд.норм.распр.'!F72*$B$12</f>
        <v>876.60498064663261</v>
      </c>
      <c r="M79" s="2">
        <f>$E79*$B$11+$B$10+'Станд.норм.распр.'!G72*$B$12</f>
        <v>873.76537902612472</v>
      </c>
      <c r="N79" s="2">
        <f>$E79*$B$11+$B$10+'Станд.норм.распр.'!H72*$B$12</f>
        <v>876.07774202054134</v>
      </c>
      <c r="O79" s="2">
        <f>$E79*$B$11+$B$10+'Станд.норм.распр.'!I72*$B$12</f>
        <v>872.04601112473756</v>
      </c>
      <c r="P79" s="2">
        <f>$E79*$B$11+$B$10+'Станд.норм.распр.'!J72*$B$12</f>
        <v>879.08912217910984</v>
      </c>
      <c r="Q79" s="2">
        <f>$E79*$B$11+$B$10+'Станд.норм.распр.'!K72*$B$12</f>
        <v>879.24058374240121</v>
      </c>
    </row>
    <row r="80" spans="3:17" x14ac:dyDescent="0.35">
      <c r="C80" s="4" t="s">
        <v>79</v>
      </c>
      <c r="D80" s="4" t="s">
        <v>5</v>
      </c>
      <c r="E80" s="4">
        <v>757</v>
      </c>
      <c r="F80" s="4"/>
      <c r="G80" s="4" t="s">
        <v>5</v>
      </c>
      <c r="H80" s="2">
        <f>$E80*$B$11+$B$10+'Станд.норм.распр.'!B73*$B$12</f>
        <v>762.67684378943522</v>
      </c>
      <c r="I80" s="2">
        <f>$E80*$B$11+$B$10+'Станд.норм.распр.'!C73*$B$12</f>
        <v>759.71599515649723</v>
      </c>
      <c r="J80" s="2">
        <f>$E80*$B$11+$B$10+'Станд.норм.распр.'!D73*$B$12</f>
        <v>759.064378582465</v>
      </c>
      <c r="K80" s="2">
        <f>$E80*$B$11+$B$10+'Станд.норм.распр.'!E73*$B$12</f>
        <v>755.76504785384168</v>
      </c>
      <c r="L80" s="2">
        <f>$E80*$B$11+$B$10+'Станд.норм.распр.'!F73*$B$12</f>
        <v>759.00240788722294</v>
      </c>
      <c r="M80" s="2">
        <f>$E80*$B$11+$B$10+'Станд.норм.распр.'!G73*$B$12</f>
        <v>756.88930608701776</v>
      </c>
      <c r="N80" s="2">
        <f>$E80*$B$11+$B$10+'Станд.норм.распр.'!H73*$B$12</f>
        <v>764.20662979397457</v>
      </c>
      <c r="O80" s="2">
        <f>$E80*$B$11+$B$10+'Станд.норм.распр.'!I73*$B$12</f>
        <v>754.48362211498898</v>
      </c>
      <c r="P80" s="2">
        <f>$E80*$B$11+$B$10+'Станд.норм.распр.'!J73*$B$12</f>
        <v>759.91318952399888</v>
      </c>
      <c r="Q80" s="2">
        <f>$E80*$B$11+$B$10+'Станд.норм.распр.'!K73*$B$12</f>
        <v>756.93637243783451</v>
      </c>
    </row>
    <row r="81" spans="3:17" x14ac:dyDescent="0.35">
      <c r="C81" s="4" t="s">
        <v>80</v>
      </c>
      <c r="D81" s="4" t="s">
        <v>5</v>
      </c>
      <c r="E81" s="4">
        <v>670</v>
      </c>
      <c r="F81" s="4"/>
      <c r="G81" s="4" t="s">
        <v>5</v>
      </c>
      <c r="H81" s="2">
        <f>$E81*$B$11+$B$10+'Станд.норм.распр.'!B74*$B$12</f>
        <v>671.09017674326606</v>
      </c>
      <c r="I81" s="2">
        <f>$E81*$B$11+$B$10+'Станд.норм.распр.'!C74*$B$12</f>
        <v>675.16082605422707</v>
      </c>
      <c r="J81" s="2">
        <f>$E81*$B$11+$B$10+'Станд.норм.распр.'!D74*$B$12</f>
        <v>671.76625076669734</v>
      </c>
      <c r="K81" s="2">
        <f>$E81*$B$11+$B$10+'Станд.норм.распр.'!E74*$B$12</f>
        <v>670.87451735958166</v>
      </c>
      <c r="L81" s="2">
        <f>$E81*$B$11+$B$10+'Станд.норм.распр.'!F74*$B$12</f>
        <v>672.28396698326105</v>
      </c>
      <c r="M81" s="2">
        <f>$E81*$B$11+$B$10+'Станд.норм.распр.'!G74*$B$12</f>
        <v>675.0679893825436</v>
      </c>
      <c r="N81" s="2">
        <f>$E81*$B$11+$B$10+'Станд.норм.распр.'!H74*$B$12</f>
        <v>669.00126636525965</v>
      </c>
      <c r="O81" s="2">
        <f>$E81*$B$11+$B$10+'Станд.норм.распр.'!I74*$B$12</f>
        <v>674.9551802072092</v>
      </c>
      <c r="P81" s="2">
        <f>$E81*$B$11+$B$10+'Станд.норм.распр.'!J74*$B$12</f>
        <v>671.50468804854609</v>
      </c>
      <c r="Q81" s="2">
        <f>$E81*$B$11+$B$10+'Станд.норм.распр.'!K74*$B$12</f>
        <v>677.70831616641954</v>
      </c>
    </row>
    <row r="82" spans="3:17" x14ac:dyDescent="0.35">
      <c r="C82" s="4" t="s">
        <v>81</v>
      </c>
      <c r="D82" s="4" t="s">
        <v>5</v>
      </c>
      <c r="E82" s="4">
        <v>823</v>
      </c>
      <c r="F82" s="4"/>
      <c r="G82" s="4" t="s">
        <v>5</v>
      </c>
      <c r="H82" s="2">
        <f>$E82*$B$11+$B$10+'Станд.норм.распр.'!B75*$B$12</f>
        <v>826.14446265797596</v>
      </c>
      <c r="I82" s="2">
        <f>$E82*$B$11+$B$10+'Станд.норм.распр.'!C75*$B$12</f>
        <v>821.98875626563677</v>
      </c>
      <c r="J82" s="2">
        <f>$E82*$B$11+$B$10+'Станд.норм.распр.'!D75*$B$12</f>
        <v>823.12150008438039</v>
      </c>
      <c r="K82" s="2">
        <f>$E82*$B$11+$B$10+'Станд.норм.распр.'!E75*$B$12</f>
        <v>822.18084154665121</v>
      </c>
      <c r="L82" s="2">
        <f>$E82*$B$11+$B$10+'Станд.норм.распр.'!F75*$B$12</f>
        <v>827.38355596593465</v>
      </c>
      <c r="M82" s="2">
        <f>$E82*$B$11+$B$10+'Станд.норм.распр.'!G75*$B$12</f>
        <v>825.31371769182442</v>
      </c>
      <c r="N82" s="2">
        <f>$E82*$B$11+$B$10+'Станд.норм.распр.'!H75*$B$12</f>
        <v>824.58408693601086</v>
      </c>
      <c r="O82" s="2">
        <f>$E82*$B$11+$B$10+'Станд.норм.распр.'!I75*$B$12</f>
        <v>827.97012547889608</v>
      </c>
      <c r="P82" s="2">
        <f>$E82*$B$11+$B$10+'Станд.норм.распр.'!J75*$B$12</f>
        <v>827.93067159873317</v>
      </c>
      <c r="Q82" s="2">
        <f>$E82*$B$11+$B$10+'Станд.норм.распр.'!K75*$B$12</f>
        <v>823.99064267385984</v>
      </c>
    </row>
    <row r="83" spans="3:17" x14ac:dyDescent="0.35">
      <c r="C83" s="4" t="s">
        <v>82</v>
      </c>
      <c r="D83" s="4" t="s">
        <v>5</v>
      </c>
      <c r="E83" s="4">
        <v>634</v>
      </c>
      <c r="F83" s="4"/>
      <c r="G83" s="4" t="s">
        <v>5</v>
      </c>
      <c r="H83" s="2">
        <f>$E83*$B$11+$B$10+'Станд.норм.распр.'!B76*$B$12</f>
        <v>637.20168920147989</v>
      </c>
      <c r="I83" s="2">
        <f>$E83*$B$11+$B$10+'Станд.норм.распр.'!C76*$B$12</f>
        <v>634.22563950147014</v>
      </c>
      <c r="J83" s="2">
        <f>$E83*$B$11+$B$10+'Станд.норм.распр.'!D76*$B$12</f>
        <v>636.1309672370553</v>
      </c>
      <c r="K83" s="2">
        <f>$E83*$B$11+$B$10+'Станд.норм.распр.'!E76*$B$12</f>
        <v>635.18251205599518</v>
      </c>
      <c r="L83" s="2">
        <f>$E83*$B$11+$B$10+'Станд.норм.распр.'!F76*$B$12</f>
        <v>633.41929741503554</v>
      </c>
      <c r="M83" s="2">
        <f>$E83*$B$11+$B$10+'Станд.норм.распр.'!G76*$B$12</f>
        <v>631.32100446231198</v>
      </c>
      <c r="N83" s="2">
        <f>$E83*$B$11+$B$10+'Станд.норм.распр.'!H76*$B$12</f>
        <v>632.561427906272</v>
      </c>
      <c r="O83" s="2">
        <f>$E83*$B$11+$B$10+'Станд.норм.распр.'!I76*$B$12</f>
        <v>634.82536712902947</v>
      </c>
      <c r="P83" s="2">
        <f>$E83*$B$11+$B$10+'Станд.норм.распр.'!J76*$B$12</f>
        <v>634.60267507756362</v>
      </c>
      <c r="Q83" s="2">
        <f>$E83*$B$11+$B$10+'Станд.норм.распр.'!K76*$B$12</f>
        <v>635.45619027432986</v>
      </c>
    </row>
    <row r="84" spans="3:17" x14ac:dyDescent="0.35">
      <c r="C84" s="4" t="s">
        <v>83</v>
      </c>
      <c r="D84" s="4" t="s">
        <v>5</v>
      </c>
      <c r="E84" s="4">
        <v>407</v>
      </c>
      <c r="F84" s="4"/>
      <c r="G84" s="4" t="s">
        <v>5</v>
      </c>
      <c r="H84" s="2">
        <f>$E84*$B$11+$B$10+'Станд.норм.распр.'!B77*$B$12</f>
        <v>409.80320432971348</v>
      </c>
      <c r="I84" s="2">
        <f>$E84*$B$11+$B$10+'Станд.норм.распр.'!C77*$B$12</f>
        <v>408.92666857906443</v>
      </c>
      <c r="J84" s="2">
        <f>$E84*$B$11+$B$10+'Станд.норм.распр.'!D77*$B$12</f>
        <v>404.51821485208347</v>
      </c>
      <c r="K84" s="2">
        <f>$E84*$B$11+$B$10+'Станд.норм.распр.'!E77*$B$12</f>
        <v>403.14470039482694</v>
      </c>
      <c r="L84" s="2">
        <f>$E84*$B$11+$B$10+'Станд.норм.распр.'!F77*$B$12</f>
        <v>407.35788912605494</v>
      </c>
      <c r="M84" s="2">
        <f>$E84*$B$11+$B$10+'Станд.норм.распр.'!G77*$B$12</f>
        <v>411.30014620683505</v>
      </c>
      <c r="N84" s="2">
        <f>$E84*$B$11+$B$10+'Станд.норм.распр.'!H77*$B$12</f>
        <v>407.99381691648159</v>
      </c>
      <c r="O84" s="2">
        <f>$E84*$B$11+$B$10+'Станд.норм.распр.'!I77*$B$12</f>
        <v>408.25895053820568</v>
      </c>
      <c r="P84" s="2">
        <f>$E84*$B$11+$B$10+'Станд.норм.распр.'!J77*$B$12</f>
        <v>409.9261771083402</v>
      </c>
      <c r="Q84" s="2">
        <f>$E84*$B$11+$B$10+'Станд.норм.распр.'!K77*$B$12</f>
        <v>409.39529936657345</v>
      </c>
    </row>
    <row r="85" spans="3:17" x14ac:dyDescent="0.35">
      <c r="C85" s="4" t="s">
        <v>84</v>
      </c>
      <c r="D85" s="4" t="s">
        <v>5</v>
      </c>
      <c r="E85" s="4">
        <v>923</v>
      </c>
      <c r="F85" s="4"/>
      <c r="G85" s="4" t="s">
        <v>5</v>
      </c>
      <c r="H85" s="2">
        <f>$E85*$B$11+$B$10+'Станд.норм.распр.'!B78*$B$12</f>
        <v>921.71618752472568</v>
      </c>
      <c r="I85" s="2">
        <f>$E85*$B$11+$B$10+'Станд.норм.распр.'!C78*$B$12</f>
        <v>926.12720499600982</v>
      </c>
      <c r="J85" s="2">
        <f>$E85*$B$11+$B$10+'Станд.норм.распр.'!D78*$B$12</f>
        <v>923.94512711762218</v>
      </c>
      <c r="K85" s="2">
        <f>$E85*$B$11+$B$10+'Станд.норм.распр.'!E78*$B$12</f>
        <v>927.32454567594687</v>
      </c>
      <c r="L85" s="2">
        <f>$E85*$B$11+$B$10+'Станд.норм.распр.'!F78*$B$12</f>
        <v>922.18583467256394</v>
      </c>
      <c r="M85" s="2">
        <f>$E85*$B$11+$B$10+'Станд.норм.распр.'!G78*$B$12</f>
        <v>920.47933839494362</v>
      </c>
      <c r="N85" s="2">
        <f>$E85*$B$11+$B$10+'Станд.норм.распр.'!H78*$B$12</f>
        <v>928.54050588005339</v>
      </c>
      <c r="O85" s="2">
        <f>$E85*$B$11+$B$10+'Станд.норм.распр.'!I78*$B$12</f>
        <v>926.06708966995939</v>
      </c>
      <c r="P85" s="2">
        <f>$E85*$B$11+$B$10+'Станд.норм.распр.'!J78*$B$12</f>
        <v>924.90646756486967</v>
      </c>
      <c r="Q85" s="2">
        <f>$E85*$B$11+$B$10+'Станд.норм.распр.'!K78*$B$12</f>
        <v>922.16294951213058</v>
      </c>
    </row>
    <row r="86" spans="3:17" x14ac:dyDescent="0.35">
      <c r="C86" s="4" t="s">
        <v>85</v>
      </c>
      <c r="D86" s="4" t="s">
        <v>5</v>
      </c>
      <c r="E86" s="4">
        <v>235</v>
      </c>
      <c r="F86" s="4"/>
      <c r="G86" s="4" t="s">
        <v>5</v>
      </c>
      <c r="H86" s="2">
        <f>$E86*$B$11+$B$10+'Станд.норм.распр.'!B79*$B$12</f>
        <v>230.60006768256426</v>
      </c>
      <c r="I86" s="2">
        <f>$E86*$B$11+$B$10+'Станд.норм.распр.'!C79*$B$12</f>
        <v>239.15175077755703</v>
      </c>
      <c r="J86" s="2">
        <f>$E86*$B$11+$B$10+'Станд.норм.распр.'!D79*$B$12</f>
        <v>234.24095005149138</v>
      </c>
      <c r="K86" s="2">
        <f>$E86*$B$11+$B$10+'Станд.норм.распр.'!E79*$B$12</f>
        <v>236.88189415489614</v>
      </c>
      <c r="L86" s="2">
        <f>$E86*$B$11+$B$10+'Станд.норм.распр.'!F79*$B$12</f>
        <v>232.90959305351134</v>
      </c>
      <c r="M86" s="2">
        <f>$E86*$B$11+$B$10+'Станд.норм.распр.'!G79*$B$12</f>
        <v>237.6535742613778</v>
      </c>
      <c r="N86" s="2">
        <f>$E86*$B$11+$B$10+'Станд.норм.распр.'!H79*$B$12</f>
        <v>235.45802449272014</v>
      </c>
      <c r="O86" s="2">
        <f>$E86*$B$11+$B$10+'Станд.норм.распр.'!I79*$B$12</f>
        <v>239.47369143835385</v>
      </c>
      <c r="P86" s="2">
        <f>$E86*$B$11+$B$10+'Станд.норм.распр.'!J79*$B$12</f>
        <v>243.20410901319701</v>
      </c>
      <c r="Q86" s="2">
        <f>$E86*$B$11+$B$10+'Станд.норм.распр.'!K79*$B$12</f>
        <v>237.98290911410004</v>
      </c>
    </row>
    <row r="87" spans="3:17" x14ac:dyDescent="0.35">
      <c r="C87" s="4" t="s">
        <v>86</v>
      </c>
      <c r="D87" s="4" t="s">
        <v>5</v>
      </c>
      <c r="E87" s="4">
        <v>314</v>
      </c>
      <c r="F87" s="4"/>
      <c r="G87" s="4" t="s">
        <v>5</v>
      </c>
      <c r="H87" s="2">
        <f>$E87*$B$11+$B$10+'Станд.норм.распр.'!B80*$B$12</f>
        <v>319.81534267337702</v>
      </c>
      <c r="I87" s="2">
        <f>$E87*$B$11+$B$10+'Станд.норм.распр.'!C80*$B$12</f>
        <v>313.87576598464511</v>
      </c>
      <c r="J87" s="2">
        <f>$E87*$B$11+$B$10+'Станд.норм.распр.'!D80*$B$12</f>
        <v>316.09697714631329</v>
      </c>
      <c r="K87" s="2">
        <f>$E87*$B$11+$B$10+'Станд.норм.распр.'!E80*$B$12</f>
        <v>313.16330421506427</v>
      </c>
      <c r="L87" s="2">
        <f>$E87*$B$11+$B$10+'Станд.норм.распр.'!F80*$B$12</f>
        <v>317.55815097666346</v>
      </c>
      <c r="M87" s="2">
        <f>$E87*$B$11+$B$10+'Станд.норм.распр.'!G80*$B$12</f>
        <v>313.75762262288481</v>
      </c>
      <c r="N87" s="2">
        <f>$E87*$B$11+$B$10+'Станд.норм.распр.'!H80*$B$12</f>
        <v>313.28375314589357</v>
      </c>
      <c r="O87" s="2">
        <f>$E87*$B$11+$B$10+'Станд.норм.распр.'!I80*$B$12</f>
        <v>310.15086676890496</v>
      </c>
      <c r="P87" s="2">
        <f>$E87*$B$11+$B$10+'Станд.норм.распр.'!J80*$B$12</f>
        <v>316.27935584512306</v>
      </c>
      <c r="Q87" s="2">
        <f>$E87*$B$11+$B$10+'Станд.норм.распр.'!K80*$B$12</f>
        <v>316.60758566178265</v>
      </c>
    </row>
    <row r="88" spans="3:17" x14ac:dyDescent="0.35">
      <c r="C88" s="4" t="s">
        <v>87</v>
      </c>
      <c r="D88" s="4" t="s">
        <v>5</v>
      </c>
      <c r="E88" s="4">
        <v>911</v>
      </c>
      <c r="F88" s="4"/>
      <c r="G88" s="4" t="s">
        <v>5</v>
      </c>
      <c r="H88" s="2">
        <f>$E88*$B$11+$B$10+'Станд.норм.распр.'!B81*$B$12</f>
        <v>917.54773942995234</v>
      </c>
      <c r="I88" s="2">
        <f>$E88*$B$11+$B$10+'Станд.норм.распр.'!C81*$B$12</f>
        <v>908.78640881736646</v>
      </c>
      <c r="J88" s="2">
        <f>$E88*$B$11+$B$10+'Станд.норм.распр.'!D81*$B$12</f>
        <v>913.49624304665485</v>
      </c>
      <c r="K88" s="2">
        <f>$E88*$B$11+$B$10+'Станд.норм.распр.'!E81*$B$12</f>
        <v>909.04109234496718</v>
      </c>
      <c r="L88" s="2">
        <f>$E88*$B$11+$B$10+'Станд.норм.распр.'!F81*$B$12</f>
        <v>911.81172470850288</v>
      </c>
      <c r="M88" s="2">
        <f>$E88*$B$11+$B$10+'Станд.норм.распр.'!G81*$B$12</f>
        <v>909.81951521779411</v>
      </c>
      <c r="N88" s="2">
        <f>$E88*$B$11+$B$10+'Станд.норм.распр.'!H81*$B$12</f>
        <v>913.20981360648875</v>
      </c>
      <c r="O88" s="2">
        <f>$E88*$B$11+$B$10+'Станд.норм.распр.'!I81*$B$12</f>
        <v>916.0804039852228</v>
      </c>
      <c r="P88" s="2">
        <f>$E88*$B$11+$B$10+'Станд.норм.распр.'!J81*$B$12</f>
        <v>911.63431867197505</v>
      </c>
      <c r="Q88" s="2">
        <f>$E88*$B$11+$B$10+'Станд.норм.распр.'!K81*$B$12</f>
        <v>912.71280658428441</v>
      </c>
    </row>
    <row r="89" spans="3:17" x14ac:dyDescent="0.35">
      <c r="C89" s="4" t="s">
        <v>88</v>
      </c>
      <c r="D89" s="4" t="s">
        <v>5</v>
      </c>
      <c r="E89" s="4">
        <v>273</v>
      </c>
      <c r="F89" s="4"/>
      <c r="G89" s="4" t="s">
        <v>5</v>
      </c>
      <c r="H89" s="2">
        <f>$E89*$B$11+$B$10+'Станд.норм.распр.'!B82*$B$12</f>
        <v>276.49268544191727</v>
      </c>
      <c r="I89" s="2">
        <f>$E89*$B$11+$B$10+'Станд.норм.распр.'!C82*$B$12</f>
        <v>266.7636887403205</v>
      </c>
      <c r="J89" s="2">
        <f>$E89*$B$11+$B$10+'Станд.норм.распр.'!D82*$B$12</f>
        <v>275.23604798116139</v>
      </c>
      <c r="K89" s="2">
        <f>$E89*$B$11+$B$10+'Станд.норм.распр.'!E82*$B$12</f>
        <v>276.87152863873052</v>
      </c>
      <c r="L89" s="2">
        <f>$E89*$B$11+$B$10+'Станд.норм.распр.'!F82*$B$12</f>
        <v>275.693113406669</v>
      </c>
      <c r="M89" s="2">
        <f>$E89*$B$11+$B$10+'Станд.норм.распр.'!G82*$B$12</f>
        <v>269.39615748997312</v>
      </c>
      <c r="N89" s="2">
        <f>$E89*$B$11+$B$10+'Станд.норм.распр.'!H82*$B$12</f>
        <v>274.39288159112039</v>
      </c>
      <c r="O89" s="2">
        <f>$E89*$B$11+$B$10+'Станд.норм.распр.'!I82*$B$12</f>
        <v>275.06529603524541</v>
      </c>
      <c r="P89" s="2">
        <f>$E89*$B$11+$B$10+'Станд.норм.распр.'!J82*$B$12</f>
        <v>274.24356188785168</v>
      </c>
      <c r="Q89" s="2">
        <f>$E89*$B$11+$B$10+'Станд.норм.распр.'!K82*$B$12</f>
        <v>273.96596797648817</v>
      </c>
    </row>
    <row r="90" spans="3:17" x14ac:dyDescent="0.35">
      <c r="C90" s="4" t="s">
        <v>89</v>
      </c>
      <c r="D90" s="4" t="s">
        <v>5</v>
      </c>
      <c r="E90" s="4">
        <v>403</v>
      </c>
      <c r="F90" s="4"/>
      <c r="G90" s="4" t="s">
        <v>5</v>
      </c>
      <c r="H90" s="2">
        <f>$E90*$B$11+$B$10+'Станд.норм.распр.'!B83*$B$12</f>
        <v>408.41521626978647</v>
      </c>
      <c r="I90" s="2">
        <f>$E90*$B$11+$B$10+'Станд.норм.распр.'!C83*$B$12</f>
        <v>406.11736198959989</v>
      </c>
      <c r="J90" s="2">
        <f>$E90*$B$11+$B$10+'Станд.норм.распр.'!D83*$B$12</f>
        <v>408.7832273847016</v>
      </c>
      <c r="K90" s="2">
        <f>$E90*$B$11+$B$10+'Станд.норм.распр.'!E83*$B$12</f>
        <v>399.08658368338365</v>
      </c>
      <c r="L90" s="2">
        <f>$E90*$B$11+$B$10+'Станд.норм.распр.'!F83*$B$12</f>
        <v>408.4187223718618</v>
      </c>
      <c r="M90" s="2">
        <f>$E90*$B$11+$B$10+'Станд.норм.распр.'!G83*$B$12</f>
        <v>404.84674445840938</v>
      </c>
      <c r="N90" s="2">
        <f>$E90*$B$11+$B$10+'Станд.норм.распр.'!H83*$B$12</f>
        <v>407.95219933832414</v>
      </c>
      <c r="O90" s="2">
        <f>$E90*$B$11+$B$10+'Станд.норм.распр.'!I83*$B$12</f>
        <v>406.08691551758966</v>
      </c>
      <c r="P90" s="2">
        <f>$E90*$B$11+$B$10+'Станд.норм.распр.'!J83*$B$12</f>
        <v>406.51139840151882</v>
      </c>
      <c r="Q90" s="2">
        <f>$E90*$B$11+$B$10+'Станд.норм.распр.'!K83*$B$12</f>
        <v>403.73281456832774</v>
      </c>
    </row>
    <row r="91" spans="3:17" x14ac:dyDescent="0.35">
      <c r="C91" s="4" t="s">
        <v>90</v>
      </c>
      <c r="D91" s="4" t="s">
        <v>5</v>
      </c>
      <c r="E91" s="4">
        <v>692</v>
      </c>
      <c r="F91" s="4"/>
      <c r="G91" s="4" t="s">
        <v>5</v>
      </c>
      <c r="H91" s="2">
        <f>$E91*$B$11+$B$10+'Станд.норм.распр.'!B84*$B$12</f>
        <v>693.85800286594895</v>
      </c>
      <c r="I91" s="2">
        <f>$E91*$B$11+$B$10+'Станд.норм.распр.'!C84*$B$12</f>
        <v>696.01188868231839</v>
      </c>
      <c r="J91" s="2">
        <f>$E91*$B$11+$B$10+'Станд.норм.распр.'!D84*$B$12</f>
        <v>694.85829242379987</v>
      </c>
      <c r="K91" s="2">
        <f>$E91*$B$11+$B$10+'Станд.норм.распр.'!E84*$B$12</f>
        <v>696.00987642529071</v>
      </c>
      <c r="L91" s="2">
        <f>$E91*$B$11+$B$10+'Станд.норм.распр.'!F84*$B$12</f>
        <v>690.7048847793194</v>
      </c>
      <c r="M91" s="2">
        <f>$E91*$B$11+$B$10+'Станд.норм.распр.'!G84*$B$12</f>
        <v>691.94740915604052</v>
      </c>
      <c r="N91" s="2">
        <f>$E91*$B$11+$B$10+'Станд.норм.распр.'!H84*$B$12</f>
        <v>691.19543893661466</v>
      </c>
      <c r="O91" s="2">
        <f>$E91*$B$11+$B$10+'Станд.норм.распр.'!I84*$B$12</f>
        <v>697.91009507438866</v>
      </c>
      <c r="P91" s="2">
        <f>$E91*$B$11+$B$10+'Станд.норм.распр.'!J84*$B$12</f>
        <v>692.62718368603964</v>
      </c>
      <c r="Q91" s="2">
        <f>$E91*$B$11+$B$10+'Станд.норм.распр.'!K84*$B$12</f>
        <v>693.04344804235734</v>
      </c>
    </row>
    <row r="92" spans="3:17" x14ac:dyDescent="0.35">
      <c r="C92" s="4" t="s">
        <v>91</v>
      </c>
      <c r="D92" s="4" t="s">
        <v>5</v>
      </c>
      <c r="E92" s="4">
        <v>429</v>
      </c>
      <c r="F92" s="4"/>
      <c r="G92" s="4" t="s">
        <v>5</v>
      </c>
      <c r="H92" s="2">
        <f>$E92*$B$11+$B$10+'Станд.норм.распр.'!B85*$B$12</f>
        <v>433.17526348933461</v>
      </c>
      <c r="I92" s="2">
        <f>$E92*$B$11+$B$10+'Станд.норм.распр.'!C85*$B$12</f>
        <v>426.29134584008716</v>
      </c>
      <c r="J92" s="2">
        <f>$E92*$B$11+$B$10+'Станд.норм.распр.'!D85*$B$12</f>
        <v>432.91746948985383</v>
      </c>
      <c r="K92" s="2">
        <f>$E92*$B$11+$B$10+'Станд.норм.распр.'!E85*$B$12</f>
        <v>431.73655428423081</v>
      </c>
      <c r="L92" s="2">
        <f>$E92*$B$11+$B$10+'Станд.норм.распр.'!F85*$B$12</f>
        <v>425.90943991986569</v>
      </c>
      <c r="M92" s="2">
        <f>$E92*$B$11+$B$10+'Станд.норм.распр.'!G85*$B$12</f>
        <v>433.45503542828374</v>
      </c>
      <c r="N92" s="2">
        <f>$E92*$B$11+$B$10+'Станд.норм.распр.'!H85*$B$12</f>
        <v>429.24746055310243</v>
      </c>
      <c r="O92" s="2">
        <f>$E92*$B$11+$B$10+'Станд.норм.распр.'!I85*$B$12</f>
        <v>431.86211912275758</v>
      </c>
      <c r="P92" s="2">
        <f>$E92*$B$11+$B$10+'Станд.норм.распр.'!J85*$B$12</f>
        <v>434.32422132487409</v>
      </c>
      <c r="Q92" s="2">
        <f>$E92*$B$11+$B$10+'Станд.норм.распр.'!K85*$B$12</f>
        <v>431.57552938415029</v>
      </c>
    </row>
    <row r="93" spans="3:17" x14ac:dyDescent="0.35">
      <c r="C93" s="4" t="s">
        <v>92</v>
      </c>
      <c r="D93" s="4" t="s">
        <v>5</v>
      </c>
      <c r="E93" s="4">
        <v>902</v>
      </c>
      <c r="F93" s="4"/>
      <c r="G93" s="4" t="s">
        <v>5</v>
      </c>
      <c r="H93" s="2">
        <f>$E93*$B$11+$B$10+'Станд.норм.распр.'!B86*$B$12</f>
        <v>902.91724883127608</v>
      </c>
      <c r="I93" s="2">
        <f>$E93*$B$11+$B$10+'Станд.норм.распр.'!C86*$B$12</f>
        <v>905.05853587228921</v>
      </c>
      <c r="J93" s="2">
        <f>$E93*$B$11+$B$10+'Станд.норм.распр.'!D86*$B$12</f>
        <v>908.03755620936863</v>
      </c>
      <c r="K93" s="2">
        <f>$E93*$B$11+$B$10+'Станд.норм.распр.'!E86*$B$12</f>
        <v>899.30389686697163</v>
      </c>
      <c r="L93" s="2">
        <f>$E93*$B$11+$B$10+'Станд.норм.распр.'!F86*$B$12</f>
        <v>905.23234030979802</v>
      </c>
      <c r="M93" s="2">
        <f>$E93*$B$11+$B$10+'Станд.норм.распр.'!G86*$B$12</f>
        <v>904.31625518204237</v>
      </c>
      <c r="N93" s="2">
        <f>$E93*$B$11+$B$10+'Станд.норм.распр.'!H86*$B$12</f>
        <v>903.62136143949465</v>
      </c>
      <c r="O93" s="2">
        <f>$E93*$B$11+$B$10+'Станд.норм.распр.'!I86*$B$12</f>
        <v>899.38723841396859</v>
      </c>
      <c r="P93" s="2">
        <f>$E93*$B$11+$B$10+'Станд.норм.распр.'!J86*$B$12</f>
        <v>904.44118223740952</v>
      </c>
      <c r="Q93" s="2">
        <f>$E93*$B$11+$B$10+'Станд.норм.распр.'!K86*$B$12</f>
        <v>903.24592884781305</v>
      </c>
    </row>
    <row r="94" spans="3:17" x14ac:dyDescent="0.35">
      <c r="C94" s="4" t="s">
        <v>93</v>
      </c>
      <c r="D94" s="4" t="s">
        <v>5</v>
      </c>
      <c r="E94" s="4">
        <v>283</v>
      </c>
      <c r="F94" s="4"/>
      <c r="G94" s="4" t="s">
        <v>5</v>
      </c>
      <c r="H94" s="2">
        <f>$E94*$B$11+$B$10+'Станд.норм.распр.'!B87*$B$12</f>
        <v>284.24758640190703</v>
      </c>
      <c r="I94" s="2">
        <f>$E94*$B$11+$B$10+'Станд.норм.распр.'!C87*$B$12</f>
        <v>287.20432184505626</v>
      </c>
      <c r="J94" s="2">
        <f>$E94*$B$11+$B$10+'Станд.норм.распр.'!D87*$B$12</f>
        <v>281.47456661477918</v>
      </c>
      <c r="K94" s="2">
        <f>$E94*$B$11+$B$10+'Станд.норм.распр.'!E87*$B$12</f>
        <v>289.73398813483072</v>
      </c>
      <c r="L94" s="2">
        <f>$E94*$B$11+$B$10+'Станд.норм.распр.'!F87*$B$12</f>
        <v>285.26375367573928</v>
      </c>
      <c r="M94" s="2">
        <f>$E94*$B$11+$B$10+'Станд.норм.распр.'!G87*$B$12</f>
        <v>287.89719991997117</v>
      </c>
      <c r="N94" s="2">
        <f>$E94*$B$11+$B$10+'Станд.норм.распр.'!H87*$B$12</f>
        <v>284.85363729138044</v>
      </c>
      <c r="O94" s="2">
        <f>$E94*$B$11+$B$10+'Станд.норм.распр.'!I87*$B$12</f>
        <v>283.30834667591262</v>
      </c>
      <c r="P94" s="2">
        <f>$E94*$B$11+$B$10+'Станд.норм.распр.'!J87*$B$12</f>
        <v>286.17611989480793</v>
      </c>
      <c r="Q94" s="2">
        <f>$E94*$B$11+$B$10+'Станд.норм.распр.'!K87*$B$12</f>
        <v>284.63319147960283</v>
      </c>
    </row>
    <row r="95" spans="3:17" x14ac:dyDescent="0.35">
      <c r="C95" s="4" t="s">
        <v>94</v>
      </c>
      <c r="D95" s="4" t="s">
        <v>5</v>
      </c>
      <c r="E95" s="4">
        <v>677</v>
      </c>
      <c r="F95" s="4"/>
      <c r="G95" s="4" t="s">
        <v>5</v>
      </c>
      <c r="H95" s="2">
        <f>$E95*$B$11+$B$10+'Станд.норм.распр.'!B88*$B$12</f>
        <v>681.73879777523689</v>
      </c>
      <c r="I95" s="2">
        <f>$E95*$B$11+$B$10+'Станд.норм.распр.'!C88*$B$12</f>
        <v>674.88268337902264</v>
      </c>
      <c r="J95" s="2">
        <f>$E95*$B$11+$B$10+'Станд.норм.распр.'!D88*$B$12</f>
        <v>680.4525562619383</v>
      </c>
      <c r="K95" s="2">
        <f>$E95*$B$11+$B$10+'Станд.норм.распр.'!E88*$B$12</f>
        <v>678.34156665706541</v>
      </c>
      <c r="L95" s="2">
        <f>$E95*$B$11+$B$10+'Станд.норм.распр.'!F88*$B$12</f>
        <v>678.62922629492823</v>
      </c>
      <c r="M95" s="2">
        <f>$E95*$B$11+$B$10+'Станд.норм.распр.'!G88*$B$12</f>
        <v>681.00700469576987</v>
      </c>
      <c r="N95" s="2">
        <f>$E95*$B$11+$B$10+'Станд.норм.распр.'!H88*$B$12</f>
        <v>677.27785586603568</v>
      </c>
      <c r="O95" s="2">
        <f>$E95*$B$11+$B$10+'Станд.норм.распр.'!I88*$B$12</f>
        <v>678.94434574546176</v>
      </c>
      <c r="P95" s="2">
        <f>$E95*$B$11+$B$10+'Станд.норм.распр.'!J88*$B$12</f>
        <v>684.4606243793387</v>
      </c>
      <c r="Q95" s="2">
        <f>$E95*$B$11+$B$10+'Станд.норм.распр.'!K88*$B$12</f>
        <v>677.19850472704275</v>
      </c>
    </row>
    <row r="96" spans="3:17" x14ac:dyDescent="0.35">
      <c r="C96" s="4" t="s">
        <v>95</v>
      </c>
      <c r="D96" s="4" t="s">
        <v>5</v>
      </c>
      <c r="E96" s="4">
        <v>316</v>
      </c>
      <c r="F96" s="4"/>
      <c r="G96" s="4" t="s">
        <v>5</v>
      </c>
      <c r="H96" s="2">
        <f>$E96*$B$11+$B$10+'Станд.норм.распр.'!B89*$B$12</f>
        <v>317.27219050732674</v>
      </c>
      <c r="I96" s="2">
        <f>$E96*$B$11+$B$10+'Станд.норм.распр.'!C89*$B$12</f>
        <v>318.42541500988591</v>
      </c>
      <c r="J96" s="2">
        <f>$E96*$B$11+$B$10+'Станд.норм.распр.'!D89*$B$12</f>
        <v>320.48531478064251</v>
      </c>
      <c r="K96" s="2">
        <f>$E96*$B$11+$B$10+'Станд.норм.распр.'!E89*$B$12</f>
        <v>320.10804728340008</v>
      </c>
      <c r="L96" s="2">
        <f>$E96*$B$11+$B$10+'Станд.норм.распр.'!F89*$B$12</f>
        <v>317.5179450706928</v>
      </c>
      <c r="M96" s="2">
        <f>$E96*$B$11+$B$10+'Станд.норм.распр.'!G89*$B$12</f>
        <v>322.7710136641399</v>
      </c>
      <c r="N96" s="2">
        <f>$E96*$B$11+$B$10+'Станд.норм.распр.'!H89*$B$12</f>
        <v>314.6821360430913</v>
      </c>
      <c r="O96" s="2">
        <f>$E96*$B$11+$B$10+'Станд.норм.распр.'!I89*$B$12</f>
        <v>323.14163730258588</v>
      </c>
      <c r="P96" s="2">
        <f>$E96*$B$11+$B$10+'Станд.норм.распр.'!J89*$B$12</f>
        <v>317.34736706563854</v>
      </c>
      <c r="Q96" s="2">
        <f>$E96*$B$11+$B$10+'Станд.норм.распр.'!K89*$B$12</f>
        <v>318.42471924643905</v>
      </c>
    </row>
    <row r="97" spans="3:17" x14ac:dyDescent="0.35">
      <c r="C97" s="4" t="s">
        <v>96</v>
      </c>
      <c r="D97" s="4" t="s">
        <v>5</v>
      </c>
      <c r="E97" s="4">
        <v>305</v>
      </c>
      <c r="F97" s="4"/>
      <c r="G97" s="4" t="s">
        <v>5</v>
      </c>
      <c r="H97" s="2">
        <f>$E97*$B$11+$B$10+'Станд.норм.распр.'!B90*$B$12</f>
        <v>304.61612684778811</v>
      </c>
      <c r="I97" s="2">
        <f>$E97*$B$11+$B$10+'Станд.норм.распр.'!C90*$B$12</f>
        <v>308.95506117961486</v>
      </c>
      <c r="J97" s="2">
        <f>$E97*$B$11+$B$10+'Станд.норм.распр.'!D90*$B$12</f>
        <v>306.0547917150252</v>
      </c>
      <c r="K97" s="2">
        <f>$E97*$B$11+$B$10+'Станд.норм.распр.'!E90*$B$12</f>
        <v>306.19232301786542</v>
      </c>
      <c r="L97" s="2">
        <f>$E97*$B$11+$B$10+'Станд.норм.распр.'!F90*$B$12</f>
        <v>308.56349301505543</v>
      </c>
      <c r="M97" s="2">
        <f>$E97*$B$11+$B$10+'Станд.норм.распр.'!G90*$B$12</f>
        <v>303.35744643455837</v>
      </c>
      <c r="N97" s="2">
        <f>$E97*$B$11+$B$10+'Станд.норм.распр.'!H90*$B$12</f>
        <v>306.81525434122887</v>
      </c>
      <c r="O97" s="2">
        <f>$E97*$B$11+$B$10+'Станд.норм.распр.'!I90*$B$12</f>
        <v>308.20318304652756</v>
      </c>
      <c r="P97" s="2">
        <f>$E97*$B$11+$B$10+'Станд.норм.распр.'!J90*$B$12</f>
        <v>310.61584170605056</v>
      </c>
      <c r="Q97" s="2">
        <f>$E97*$B$11+$B$10+'Станд.норм.распр.'!K90*$B$12</f>
        <v>311.58232534583658</v>
      </c>
    </row>
    <row r="98" spans="3:17" x14ac:dyDescent="0.35">
      <c r="C98" s="4" t="s">
        <v>97</v>
      </c>
      <c r="D98" s="4" t="s">
        <v>5</v>
      </c>
      <c r="E98" s="4">
        <v>970</v>
      </c>
      <c r="F98" s="4"/>
      <c r="G98" s="4" t="s">
        <v>5</v>
      </c>
      <c r="H98" s="2">
        <f>$E98*$B$11+$B$10+'Станд.норм.распр.'!B91*$B$12</f>
        <v>970.79557208259939</v>
      </c>
      <c r="I98" s="2">
        <f>$E98*$B$11+$B$10+'Станд.норм.распр.'!C91*$B$12</f>
        <v>970.42308625375153</v>
      </c>
      <c r="J98" s="2">
        <f>$E98*$B$11+$B$10+'Станд.норм.распр.'!D91*$B$12</f>
        <v>971.20725599622529</v>
      </c>
      <c r="K98" s="2">
        <f>$E98*$B$11+$B$10+'Станд.норм.распр.'!E91*$B$12</f>
        <v>969.4733691487927</v>
      </c>
      <c r="L98" s="2">
        <f>$E98*$B$11+$B$10+'Станд.норм.распр.'!F91*$B$12</f>
        <v>972.45812612370355</v>
      </c>
      <c r="M98" s="2">
        <f>$E98*$B$11+$B$10+'Станд.норм.распр.'!G91*$B$12</f>
        <v>968.07483005092945</v>
      </c>
      <c r="N98" s="2">
        <f>$E98*$B$11+$B$10+'Станд.норм.распр.'!H91*$B$12</f>
        <v>969.99701299707522</v>
      </c>
      <c r="O98" s="2">
        <f>$E98*$B$11+$B$10+'Станд.норм.распр.'!I91*$B$12</f>
        <v>974.1797450244776</v>
      </c>
      <c r="P98" s="2">
        <f>$E98*$B$11+$B$10+'Станд.норм.распр.'!J91*$B$12</f>
        <v>972.60055981521145</v>
      </c>
      <c r="Q98" s="2">
        <f>$E98*$B$11+$B$10+'Станд.норм.распр.'!K91*$B$12</f>
        <v>971.62367382977391</v>
      </c>
    </row>
    <row r="99" spans="3:17" x14ac:dyDescent="0.35">
      <c r="C99" s="4" t="s">
        <v>98</v>
      </c>
      <c r="D99" s="4" t="s">
        <v>5</v>
      </c>
      <c r="E99" s="4">
        <v>362</v>
      </c>
      <c r="F99" s="4"/>
      <c r="G99" s="4" t="s">
        <v>5</v>
      </c>
      <c r="H99" s="2">
        <f>$E99*$B$11+$B$10+'Станд.норм.распр.'!B92*$B$12</f>
        <v>358.28606315632351</v>
      </c>
      <c r="I99" s="2">
        <f>$E99*$B$11+$B$10+'Станд.норм.распр.'!C92*$B$12</f>
        <v>358.30980096803978</v>
      </c>
      <c r="J99" s="2">
        <f>$E99*$B$11+$B$10+'Станд.норм.распр.'!D92*$B$12</f>
        <v>359.73091827187454</v>
      </c>
      <c r="K99" s="2">
        <f>$E99*$B$11+$B$10+'Станд.норм.распр.'!E92*$B$12</f>
        <v>365.55325096784509</v>
      </c>
      <c r="L99" s="2">
        <f>$E99*$B$11+$B$10+'Станд.норм.распр.'!F92*$B$12</f>
        <v>364.81534267337702</v>
      </c>
      <c r="M99" s="2">
        <f>$E99*$B$11+$B$10+'Станд.норм.распр.'!G92*$B$12</f>
        <v>368.15411705034785</v>
      </c>
      <c r="N99" s="2">
        <f>$E99*$B$11+$B$10+'Станд.норм.распр.'!H92*$B$12</f>
        <v>367.48972879085341</v>
      </c>
      <c r="O99" s="2">
        <f>$E99*$B$11+$B$10+'Станд.норм.распр.'!I92*$B$12</f>
        <v>367.32422132487409</v>
      </c>
      <c r="P99" s="2">
        <f>$E99*$B$11+$B$10+'Станд.норм.распр.'!J92*$B$12</f>
        <v>365.03043042449281</v>
      </c>
      <c r="Q99" s="2">
        <f>$E99*$B$11+$B$10+'Станд.норм.распр.'!K92*$B$12</f>
        <v>363.54698296278366</v>
      </c>
    </row>
    <row r="100" spans="3:17" x14ac:dyDescent="0.35">
      <c r="C100" s="4" t="s">
        <v>99</v>
      </c>
      <c r="D100" s="4" t="s">
        <v>5</v>
      </c>
      <c r="E100" s="4">
        <v>836</v>
      </c>
      <c r="F100" s="4"/>
      <c r="G100" s="4" t="s">
        <v>5</v>
      </c>
      <c r="H100" s="2">
        <f>$E100*$B$11+$B$10+'Станд.норм.распр.'!B93*$B$12</f>
        <v>845.26982761989348</v>
      </c>
      <c r="I100" s="2">
        <f>$E100*$B$11+$B$10+'Станд.норм.распр.'!C93*$B$12</f>
        <v>841.81341124011669</v>
      </c>
      <c r="J100" s="2">
        <f>$E100*$B$11+$B$10+'Станд.норм.распр.'!D93*$B$12</f>
        <v>833.02987417751865</v>
      </c>
      <c r="K100" s="2">
        <f>$E100*$B$11+$B$10+'Станд.норм.распр.'!E93*$B$12</f>
        <v>840.64779600911424</v>
      </c>
      <c r="L100" s="2">
        <f>$E100*$B$11+$B$10+'Станд.норм.распр.'!F93*$B$12</f>
        <v>836.66124539948942</v>
      </c>
      <c r="M100" s="2">
        <f>$E100*$B$11+$B$10+'Станд.норм.распр.'!G93*$B$12</f>
        <v>842.633839125745</v>
      </c>
      <c r="N100" s="2">
        <f>$E100*$B$11+$B$10+'Станд.норм.распр.'!H93*$B$12</f>
        <v>833.59318439423805</v>
      </c>
      <c r="O100" s="2">
        <f>$E100*$B$11+$B$10+'Станд.норм.распр.'!I93*$B$12</f>
        <v>841.84108933151583</v>
      </c>
      <c r="P100" s="2">
        <f>$E100*$B$11+$B$10+'Станд.норм.распр.'!J93*$B$12</f>
        <v>836.63075117900735</v>
      </c>
      <c r="Q100" s="2">
        <f>$E100*$B$11+$B$10+'Станд.норм.распр.'!K93*$B$12</f>
        <v>841.82268808607478</v>
      </c>
    </row>
    <row r="101" spans="3:17" x14ac:dyDescent="0.35">
      <c r="C101" s="4" t="s">
        <v>100</v>
      </c>
      <c r="D101" s="4" t="s">
        <v>5</v>
      </c>
      <c r="E101" s="4">
        <v>66</v>
      </c>
      <c r="F101" s="4"/>
      <c r="G101" s="4" t="s">
        <v>5</v>
      </c>
      <c r="H101" s="2">
        <f>$E101*$B$11+$B$10+'Станд.норм.распр.'!B94*$B$12</f>
        <v>70.665797182999086</v>
      </c>
      <c r="I101" s="2">
        <f>$E101*$B$11+$B$10+'Станд.норм.распр.'!C94*$B$12</f>
        <v>71.067218585783849</v>
      </c>
      <c r="J101" s="2">
        <f>$E101*$B$11+$B$10+'Станд.норм.распр.'!D94*$B$12</f>
        <v>62.713687207578921</v>
      </c>
      <c r="K101" s="2">
        <f>$E101*$B$11+$B$10+'Станд.норм.распр.'!E94*$B$12</f>
        <v>70.174963356083026</v>
      </c>
      <c r="L101" s="2">
        <f>$E101*$B$11+$B$10+'Станд.норм.распр.'!F94*$B$12</f>
        <v>70.748906808847096</v>
      </c>
      <c r="M101" s="2">
        <f>$E101*$B$11+$B$10+'Станд.норм.распр.'!G94*$B$12</f>
        <v>68.14130819181446</v>
      </c>
      <c r="N101" s="2">
        <f>$E101*$B$11+$B$10+'Станд.норм.распр.'!H94*$B$12</f>
        <v>68.780864866101183</v>
      </c>
      <c r="O101" s="2">
        <f>$E101*$B$11+$B$10+'Станд.норм.распр.'!I94*$B$12</f>
        <v>69.872084567366983</v>
      </c>
      <c r="P101" s="2">
        <f>$E101*$B$11+$B$10+'Станд.норм.распр.'!J94*$B$12</f>
        <v>58.455107763409615</v>
      </c>
      <c r="Q101" s="2">
        <f>$E101*$B$11+$B$10+'Станд.норм.распр.'!K94*$B$12</f>
        <v>69.404487193212844</v>
      </c>
    </row>
    <row r="102" spans="3:17" x14ac:dyDescent="0.35">
      <c r="C102" s="4" t="s">
        <v>101</v>
      </c>
      <c r="D102" s="4" t="s">
        <v>5</v>
      </c>
      <c r="E102" s="4">
        <v>590</v>
      </c>
      <c r="F102" s="4"/>
      <c r="G102" s="4" t="s">
        <v>5</v>
      </c>
      <c r="H102" s="2">
        <f>$E102*$B$11+$B$10+'Станд.норм.распр.'!B95*$B$12</f>
        <v>591.43218199405237</v>
      </c>
      <c r="I102" s="2">
        <f>$E102*$B$11+$B$10+'Станд.норм.распр.'!C95*$B$12</f>
        <v>593.14471163215057</v>
      </c>
      <c r="J102" s="2">
        <f>$E102*$B$11+$B$10+'Станд.норм.распр.'!D95*$B$12</f>
        <v>594.52695826929994</v>
      </c>
      <c r="K102" s="2">
        <f>$E102*$B$11+$B$10+'Станд.норм.распр.'!E95*$B$12</f>
        <v>589.09437588535366</v>
      </c>
      <c r="L102" s="2">
        <f>$E102*$B$11+$B$10+'Станд.норм.распр.'!F95*$B$12</f>
        <v>589.22831034887349</v>
      </c>
      <c r="M102" s="2">
        <f>$E102*$B$11+$B$10+'Станд.норм.распр.'!G95*$B$12</f>
        <v>586.22284417960327</v>
      </c>
      <c r="N102" s="2">
        <f>$E102*$B$11+$B$10+'Станд.норм.распр.'!H95*$B$12</f>
        <v>589.58293824925204</v>
      </c>
      <c r="O102" s="2">
        <f>$E102*$B$11+$B$10+'Станд.норм.распр.'!I95*$B$12</f>
        <v>590.69437601773825</v>
      </c>
      <c r="P102" s="2">
        <f>$E102*$B$11+$B$10+'Станд.норм.распр.'!J95*$B$12</f>
        <v>590.44910917090601</v>
      </c>
      <c r="Q102" s="2">
        <f>$E102*$B$11+$B$10+'Станд.норм.распр.'!K95*$B$12</f>
        <v>589.53697455464862</v>
      </c>
    </row>
    <row r="103" spans="3:17" x14ac:dyDescent="0.35">
      <c r="C103" s="4" t="s">
        <v>102</v>
      </c>
      <c r="D103" s="4" t="s">
        <v>5</v>
      </c>
      <c r="E103" s="4">
        <v>852</v>
      </c>
      <c r="F103" s="4"/>
      <c r="G103" s="4" t="s">
        <v>5</v>
      </c>
      <c r="H103" s="2">
        <f>$E103*$B$11+$B$10+'Станд.норм.распр.'!B96*$B$12</f>
        <v>851.84260808155523</v>
      </c>
      <c r="I103" s="2">
        <f>$E103*$B$11+$B$10+'Станд.норм.распр.'!C96*$B$12</f>
        <v>857.14209501084406</v>
      </c>
      <c r="J103" s="2">
        <f>$E103*$B$11+$B$10+'Станд.норм.распр.'!D96*$B$12</f>
        <v>848.18298340667388</v>
      </c>
      <c r="K103" s="2">
        <f>$E103*$B$11+$B$10+'Станд.норм.распр.'!E96*$B$12</f>
        <v>851.7078550728038</v>
      </c>
      <c r="L103" s="2">
        <f>$E103*$B$11+$B$10+'Станд.норм.распр.'!F96*$B$12</f>
        <v>855.61498633133306</v>
      </c>
      <c r="M103" s="2">
        <f>$E103*$B$11+$B$10+'Станд.норм.распр.'!G96*$B$12</f>
        <v>855.59089722728822</v>
      </c>
      <c r="N103" s="2">
        <f>$E103*$B$11+$B$10+'Станд.норм.распр.'!H96*$B$12</f>
        <v>851.68628299534612</v>
      </c>
      <c r="O103" s="2">
        <f>$E103*$B$11+$B$10+'Станд.норм.распр.'!I96*$B$12</f>
        <v>848.07209543278441</v>
      </c>
      <c r="P103" s="2">
        <f>$E103*$B$11+$B$10+'Станд.норм.распр.'!J96*$B$12</f>
        <v>856.60102979154908</v>
      </c>
      <c r="Q103" s="2">
        <f>$E103*$B$11+$B$10+'Станд.норм.распр.'!K96*$B$12</f>
        <v>857.26881263390533</v>
      </c>
    </row>
    <row r="104" spans="3:17" x14ac:dyDescent="0.35">
      <c r="C104" s="4" t="s">
        <v>103</v>
      </c>
      <c r="D104" s="4" t="s">
        <v>5</v>
      </c>
      <c r="E104" s="4">
        <v>963</v>
      </c>
      <c r="F104" s="4"/>
      <c r="G104" s="4" t="s">
        <v>5</v>
      </c>
      <c r="H104" s="2">
        <f>$E104*$B$11+$B$10+'Станд.норм.распр.'!B97*$B$12</f>
        <v>967.07031916943379</v>
      </c>
      <c r="I104" s="2">
        <f>$E104*$B$11+$B$10+'Станд.норм.распр.'!C97*$B$12</f>
        <v>963.02246293256758</v>
      </c>
      <c r="J104" s="2">
        <f>$E104*$B$11+$B$10+'Станд.норм.распр.'!D97*$B$12</f>
        <v>965.83488885138649</v>
      </c>
      <c r="K104" s="2">
        <f>$E104*$B$11+$B$10+'Станд.норм.распр.'!E97*$B$12</f>
        <v>965.99308635981288</v>
      </c>
      <c r="L104" s="2">
        <f>$E104*$B$11+$B$10+'Станд.норм.распр.'!F97*$B$12</f>
        <v>965.07333142093557</v>
      </c>
      <c r="M104" s="2">
        <f>$E104*$B$11+$B$10+'Станд.норм.распр.'!G97*$B$12</f>
        <v>966.95988718587614</v>
      </c>
      <c r="N104" s="2">
        <f>$E104*$B$11+$B$10+'Станд.норм.распр.'!H97*$B$12</f>
        <v>968.36825223712367</v>
      </c>
      <c r="O104" s="2">
        <f>$E104*$B$11+$B$10+'Станд.норм.распр.'!I97*$B$12</f>
        <v>967.71347744273953</v>
      </c>
      <c r="P104" s="2">
        <f>$E104*$B$11+$B$10+'Станд.норм.распр.'!J97*$B$12</f>
        <v>963.81495114095742</v>
      </c>
      <c r="Q104" s="2">
        <f>$E104*$B$11+$B$10+'Станд.норм.распр.'!K97*$B$12</f>
        <v>962.98322733113309</v>
      </c>
    </row>
    <row r="105" spans="3:17" x14ac:dyDescent="0.35">
      <c r="C105" s="4" t="s">
        <v>104</v>
      </c>
      <c r="D105" s="4" t="s">
        <v>5</v>
      </c>
      <c r="E105" s="4">
        <v>802</v>
      </c>
      <c r="F105" s="4"/>
      <c r="G105" s="4" t="s">
        <v>5</v>
      </c>
      <c r="H105" s="2">
        <f>$E105*$B$11+$B$10+'Станд.норм.распр.'!B98*$B$12</f>
        <v>801.00957459936035</v>
      </c>
      <c r="I105" s="2">
        <f>$E105*$B$11+$B$10+'Станд.норм.распр.'!C98*$B$12</f>
        <v>809.9022568166256</v>
      </c>
      <c r="J105" s="2">
        <f>$E105*$B$11+$B$10+'Станд.норм.распр.'!D98*$B$12</f>
        <v>804.10639382708177</v>
      </c>
      <c r="K105" s="2">
        <f>$E105*$B$11+$B$10+'Станд.норм.распр.'!E98*$B$12</f>
        <v>803.68340478820028</v>
      </c>
      <c r="L105" s="2">
        <f>$E105*$B$11+$B$10+'Станд.норм.распр.'!F98*$B$12</f>
        <v>804.55120391759556</v>
      </c>
      <c r="M105" s="2">
        <f>$E105*$B$11+$B$10+'Станд.норм.распр.'!G98*$B$12</f>
        <v>808.31699390901485</v>
      </c>
      <c r="N105" s="2">
        <f>$E105*$B$11+$B$10+'Станд.норм.распр.'!H98*$B$12</f>
        <v>807.15164470521268</v>
      </c>
      <c r="O105" s="2">
        <f>$E105*$B$11+$B$10+'Станд.норм.распр.'!I98*$B$12</f>
        <v>802.75241428526351</v>
      </c>
      <c r="P105" s="2">
        <f>$E105*$B$11+$B$10+'Станд.норм.распр.'!J98*$B$12</f>
        <v>801.70416479805135</v>
      </c>
      <c r="Q105" s="2">
        <f>$E105*$B$11+$B$10+'Станд.норм.распр.'!K98*$B$12</f>
        <v>802.77714117246796</v>
      </c>
    </row>
    <row r="106" spans="3:17" x14ac:dyDescent="0.35">
      <c r="C106" s="4" t="s">
        <v>105</v>
      </c>
      <c r="D106" s="4" t="s">
        <v>5</v>
      </c>
      <c r="E106" s="4">
        <v>686</v>
      </c>
      <c r="F106" s="4"/>
      <c r="G106" s="4" t="s">
        <v>5</v>
      </c>
      <c r="H106" s="2">
        <f>$E106*$B$11+$B$10+'Станд.норм.распр.'!B99*$B$12</f>
        <v>684.2996980684693</v>
      </c>
      <c r="I106" s="2">
        <f>$E106*$B$11+$B$10+'Станд.норм.распр.'!C99*$B$12</f>
        <v>688.91967990556441</v>
      </c>
      <c r="J106" s="2">
        <f>$E106*$B$11+$B$10+'Станд.норм.распр.'!D99*$B$12</f>
        <v>681.73829268733971</v>
      </c>
      <c r="K106" s="2">
        <f>$E106*$B$11+$B$10+'Станд.норм.распр.'!E99*$B$12</f>
        <v>688.62586991589342</v>
      </c>
      <c r="L106" s="2">
        <f>$E106*$B$11+$B$10+'Станд.норм.распр.'!F99*$B$12</f>
        <v>683.59790467174025</v>
      </c>
      <c r="M106" s="2">
        <f>$E106*$B$11+$B$10+'Станд.норм.распр.'!G99*$B$12</f>
        <v>687.65372808219399</v>
      </c>
      <c r="N106" s="2">
        <f>$E106*$B$11+$B$10+'Станд.норм.распр.'!H99*$B$12</f>
        <v>689.60677018357092</v>
      </c>
      <c r="O106" s="2">
        <f>$E106*$B$11+$B$10+'Станд.норм.распр.'!I99*$B$12</f>
        <v>682.67558154719882</v>
      </c>
      <c r="P106" s="2">
        <f>$E106*$B$11+$B$10+'Станд.норм.распр.'!J99*$B$12</f>
        <v>689.22235746857768</v>
      </c>
      <c r="Q106" s="2">
        <f>$E106*$B$11+$B$10+'Станд.норм.распр.'!K99*$B$12</f>
        <v>685.25039060649578</v>
      </c>
    </row>
    <row r="107" spans="3:17" x14ac:dyDescent="0.35">
      <c r="C107" s="4" t="s">
        <v>106</v>
      </c>
      <c r="D107" s="4" t="s">
        <v>5</v>
      </c>
      <c r="E107" s="4">
        <v>256</v>
      </c>
      <c r="F107" s="4"/>
      <c r="G107" s="4" t="s">
        <v>5</v>
      </c>
      <c r="H107" s="2">
        <f>$E107*$B$11+$B$10+'Станд.норм.распр.'!B100*$B$12</f>
        <v>254.66898474970367</v>
      </c>
      <c r="I107" s="2">
        <f>$E107*$B$11+$B$10+'Станд.норм.распр.'!C100*$B$12</f>
        <v>266.55849066283554</v>
      </c>
      <c r="J107" s="2">
        <f>$E107*$B$11+$B$10+'Станд.норм.распр.'!D100*$B$12</f>
        <v>260.44895090872888</v>
      </c>
      <c r="K107" s="2">
        <f>$E107*$B$11+$B$10+'Станд.норм.распр.'!E100*$B$12</f>
        <v>257.42727754387306</v>
      </c>
      <c r="L107" s="2">
        <f>$E107*$B$11+$B$10+'Станд.норм.распр.'!F100*$B$12</f>
        <v>253.98222530039493</v>
      </c>
      <c r="M107" s="2">
        <f>$E107*$B$11+$B$10+'Станд.норм.распр.'!G100*$B$12</f>
        <v>255.19223978900118</v>
      </c>
      <c r="N107" s="2">
        <f>$E107*$B$11+$B$10+'Станд.норм.распр.'!H100*$B$12</f>
        <v>257.68489760249213</v>
      </c>
      <c r="O107" s="2">
        <f>$E107*$B$11+$B$10+'Станд.норм.распр.'!I100*$B$12</f>
        <v>260.01447392100818</v>
      </c>
      <c r="P107" s="2">
        <f>$E107*$B$11+$B$10+'Станд.норм.распр.'!J100*$B$12</f>
        <v>252.25190253532492</v>
      </c>
      <c r="Q107" s="2">
        <f>$E107*$B$11+$B$10+'Станд.норм.распр.'!K100*$B$12</f>
        <v>255.31712932771188</v>
      </c>
    </row>
    <row r="108" spans="3:17" x14ac:dyDescent="0.35">
      <c r="C108" s="4" t="s">
        <v>107</v>
      </c>
      <c r="D108" s="4" t="s">
        <v>5</v>
      </c>
      <c r="E108" s="4">
        <v>240</v>
      </c>
      <c r="F108" s="4"/>
      <c r="G108" s="4" t="s">
        <v>5</v>
      </c>
      <c r="H108" s="2">
        <f>$E108*$B$11+$B$10+'Станд.норм.распр.'!B101*$B$12</f>
        <v>245.23044332617428</v>
      </c>
      <c r="I108" s="2">
        <f>$E108*$B$11+$B$10+'Станд.норм.распр.'!C101*$B$12</f>
        <v>239.80888401801349</v>
      </c>
      <c r="J108" s="2">
        <f>$E108*$B$11+$B$10+'Станд.норм.распр.'!D101*$B$12</f>
        <v>237.29595253686421</v>
      </c>
      <c r="K108" s="2">
        <f>$E108*$B$11+$B$10+'Станд.норм.распр.'!E101*$B$12</f>
        <v>242.91270521807019</v>
      </c>
      <c r="L108" s="2">
        <f>$E108*$B$11+$B$10+'Станд.норм.распр.'!F101*$B$12</f>
        <v>240.07435870025074</v>
      </c>
      <c r="M108" s="2">
        <f>$E108*$B$11+$B$10+'Станд.норм.распр.'!G101*$B$12</f>
        <v>244.04509909357873</v>
      </c>
      <c r="N108" s="2">
        <f>$E108*$B$11+$B$10+'Станд.норм.распр.'!H101*$B$12</f>
        <v>243.02563035397907</v>
      </c>
      <c r="O108" s="2">
        <f>$E108*$B$11+$B$10+'Станд.норм.распр.'!I101*$B$12</f>
        <v>245.62344053428387</v>
      </c>
      <c r="P108" s="2">
        <f>$E108*$B$11+$B$10+'Станд.норм.распр.'!J101*$B$12</f>
        <v>244.37256017499021</v>
      </c>
      <c r="Q108" s="2">
        <f>$E108*$B$11+$B$10+'Станд.норм.распр.'!K101*$B$12</f>
        <v>242.37632617022609</v>
      </c>
    </row>
    <row r="109" spans="3:17" x14ac:dyDescent="0.35">
      <c r="C109" s="4" t="s">
        <v>108</v>
      </c>
      <c r="D109" s="4" t="s">
        <v>5</v>
      </c>
      <c r="E109" s="4">
        <v>629</v>
      </c>
      <c r="F109" s="4"/>
      <c r="G109" s="4" t="s">
        <v>5</v>
      </c>
      <c r="H109" s="2">
        <f>$E109*$B$11+$B$10+'Станд.норм.распр.'!B102*$B$12</f>
        <v>635.98270001200001</v>
      </c>
      <c r="I109" s="2">
        <f>$E109*$B$11+$B$10+'Станд.норм.распр.'!C102*$B$12</f>
        <v>630.31359184300004</v>
      </c>
      <c r="J109" s="2">
        <f>$E109*$B$11+$B$10+'Станд.норм.распр.'!D102*$B$12</f>
        <v>625.56449305900003</v>
      </c>
      <c r="K109" s="2">
        <f>$E109*$B$11+$B$10+'Станд.норм.распр.'!E102*$B$12</f>
        <v>635.361395152</v>
      </c>
      <c r="L109" s="2">
        <f>$E109*$B$11+$B$10+'Станд.норм.распр.'!F102*$B$12</f>
        <v>627.65320633600004</v>
      </c>
      <c r="M109" s="2">
        <f>$E109*$B$11+$B$10+'Станд.норм.распр.'!G102*$B$12</f>
        <v>628.19676534400003</v>
      </c>
      <c r="N109" s="2">
        <f>$E109*$B$11+$B$10+'Станд.норм.распр.'!H102*$B$12</f>
        <v>633.88524258100006</v>
      </c>
      <c r="O109" s="2">
        <f>$E109*$B$11+$B$10+'Станд.норм.распр.'!I102*$B$12</f>
        <v>631.38079303300003</v>
      </c>
      <c r="P109" s="2">
        <f>$E109*$B$11+$B$10+'Станд.норм.распр.'!J102*$B$12</f>
        <v>625.83343600900002</v>
      </c>
      <c r="Q109" s="2">
        <f>$E109*$B$11+$B$10+'Станд.норм.распр.'!K102*$B$12</f>
        <v>631.968141436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9"/>
  <sheetViews>
    <sheetView workbookViewId="0">
      <selection activeCell="H10" sqref="H10"/>
    </sheetView>
  </sheetViews>
  <sheetFormatPr defaultRowHeight="14.5" x14ac:dyDescent="0.35"/>
  <cols>
    <col min="1" max="1" width="16.54296875" customWidth="1"/>
  </cols>
  <sheetData>
    <row r="1" spans="1:33" x14ac:dyDescent="0.35">
      <c r="A1" s="3" t="s">
        <v>210</v>
      </c>
      <c r="B1" t="s">
        <v>228</v>
      </c>
      <c r="C1">
        <v>100</v>
      </c>
    </row>
    <row r="2" spans="1:33" x14ac:dyDescent="0.35">
      <c r="E2">
        <v>1</v>
      </c>
      <c r="H2">
        <v>2</v>
      </c>
      <c r="K2">
        <v>3</v>
      </c>
      <c r="N2">
        <v>4</v>
      </c>
      <c r="Q2">
        <v>5</v>
      </c>
      <c r="T2">
        <v>6</v>
      </c>
      <c r="W2">
        <v>7</v>
      </c>
      <c r="Z2">
        <v>8</v>
      </c>
      <c r="AC2">
        <v>9</v>
      </c>
      <c r="AF2">
        <v>10</v>
      </c>
    </row>
    <row r="3" spans="1:33" x14ac:dyDescent="0.35">
      <c r="E3" cm="1">
        <f t="array" ref="E3:F7">LINEST(H$10:H$109,$E$10:$E$109,1,1)</f>
        <v>1.000735878914699</v>
      </c>
      <c r="F3">
        <v>101.60850505859923</v>
      </c>
      <c r="H3" cm="1">
        <f t="array" ref="H3:I7">LINEST(I$10:I$109,$E$10:$E$109,1,1)</f>
        <v>1.0001409324905488</v>
      </c>
      <c r="I3">
        <v>101.92502250570294</v>
      </c>
      <c r="K3" cm="1">
        <f t="array" ref="K3:L7">LINEST(J$10:J$109,$E$10:$E$109,1,1)</f>
        <v>0.99948982370396644</v>
      </c>
      <c r="L3">
        <v>102.27141889124255</v>
      </c>
      <c r="N3" s="5" cm="1">
        <f t="array" ref="N3:O7">LINEST(K$10:K$109,$E$10:$E$109,1,1)</f>
        <v>0.99856221592178973</v>
      </c>
      <c r="O3">
        <v>102.76491550744481</v>
      </c>
      <c r="Q3" s="5" cm="1">
        <f t="array" ref="Q3:R7">LINEST(L$10:L$109,$E$10:$E$109,1,1)</f>
        <v>0.99958778882278165</v>
      </c>
      <c r="R3">
        <v>102.21930046839839</v>
      </c>
      <c r="T3" s="5" cm="1">
        <f t="array" ref="T3:U7">LINEST(M$10:M$109,$E$10:$E$109,1,1)</f>
        <v>0.99815911033851468</v>
      </c>
      <c r="U3">
        <v>102.97937170881005</v>
      </c>
      <c r="W3" cm="1">
        <f t="array" ref="W3:X7">LINEST(N$10:N$109,$E$10:$E$109,1,1)</f>
        <v>1.0003619133635084</v>
      </c>
      <c r="X3">
        <v>101.80745847148023</v>
      </c>
      <c r="Z3" cm="1">
        <f t="array" ref="Z3:AA7">LINEST(O$10:O$109,$E$10:$E$109,1,1)</f>
        <v>0.999904938981654</v>
      </c>
      <c r="AA3">
        <v>102.0505734123783</v>
      </c>
      <c r="AC3" cm="1">
        <f t="array" ref="AC3:AD7">LINEST(P$10:P$109,$E$10:$E$109,1,1)</f>
        <v>1.0008826152066084</v>
      </c>
      <c r="AD3">
        <v>101.53043988392892</v>
      </c>
      <c r="AF3" cm="1">
        <f t="array" ref="AF3:AG7">LINEST(Q$10:Q$109,$E$10:$E$109,1,1)</f>
        <v>0.99966953269181003</v>
      </c>
      <c r="AG3">
        <v>102.17581191262536</v>
      </c>
    </row>
    <row r="4" spans="1:33" x14ac:dyDescent="0.35">
      <c r="E4">
        <v>9.5820679036128821E-4</v>
      </c>
      <c r="F4">
        <v>0.57393677655482922</v>
      </c>
      <c r="H4">
        <v>1.1748164291240004E-3</v>
      </c>
      <c r="I4">
        <v>0.70367937396984281</v>
      </c>
      <c r="K4">
        <v>1.1386948450479695E-3</v>
      </c>
      <c r="L4">
        <v>0.68204364174878995</v>
      </c>
      <c r="N4">
        <v>9.6504595020407763E-4</v>
      </c>
      <c r="O4">
        <v>0.57803322566581261</v>
      </c>
      <c r="Q4">
        <v>9.4755799302665875E-4</v>
      </c>
      <c r="R4">
        <v>0.5675584702456884</v>
      </c>
      <c r="T4">
        <v>1.0215504068390379E-3</v>
      </c>
      <c r="U4">
        <v>0.61187767973174934</v>
      </c>
      <c r="W4">
        <v>1.1429048481757691E-3</v>
      </c>
      <c r="X4">
        <v>0.68456530580790609</v>
      </c>
      <c r="Z4">
        <v>1.1637727095190429E-3</v>
      </c>
      <c r="AA4">
        <v>0.69706452121049767</v>
      </c>
      <c r="AC4">
        <v>9.4139675206432428E-4</v>
      </c>
      <c r="AD4">
        <v>0.56386807396268301</v>
      </c>
      <c r="AF4">
        <v>9.3863997875064738E-4</v>
      </c>
      <c r="AG4">
        <v>0.56221685044260383</v>
      </c>
    </row>
    <row r="5" spans="1:33" x14ac:dyDescent="0.35">
      <c r="E5">
        <v>0.99991016064933236</v>
      </c>
      <c r="F5">
        <v>2.6368971670019019</v>
      </c>
      <c r="H5">
        <v>0.99986479742199019</v>
      </c>
      <c r="I5">
        <v>3.2329870179028131</v>
      </c>
      <c r="K5">
        <v>0.99987281707961717</v>
      </c>
      <c r="L5">
        <v>3.133583732854297</v>
      </c>
      <c r="N5">
        <v>0.99990847661947591</v>
      </c>
      <c r="O5">
        <v>2.6557179073635151</v>
      </c>
      <c r="Q5">
        <v>0.9999119442852481</v>
      </c>
      <c r="R5">
        <v>2.6075926538152703</v>
      </c>
      <c r="T5">
        <v>0.99989736356678616</v>
      </c>
      <c r="U5">
        <v>2.8112129874678109</v>
      </c>
      <c r="W5">
        <v>0.99987209828200696</v>
      </c>
      <c r="X5">
        <v>3.1451692751740068</v>
      </c>
      <c r="Z5">
        <v>0.99986726442486018</v>
      </c>
      <c r="AA5">
        <v>3.2025957148642532</v>
      </c>
      <c r="AC5">
        <v>0.99991331029507502</v>
      </c>
      <c r="AD5">
        <v>2.5906374840103581</v>
      </c>
      <c r="AF5">
        <v>0.99991360795828943</v>
      </c>
      <c r="AG5">
        <v>2.5830510967983034</v>
      </c>
    </row>
    <row r="6" spans="1:33" x14ac:dyDescent="0.35">
      <c r="E6">
        <v>1090738.0230977172</v>
      </c>
      <c r="F6">
        <v>98</v>
      </c>
      <c r="H6">
        <v>724740.24970319425</v>
      </c>
      <c r="I6">
        <v>98</v>
      </c>
      <c r="K6">
        <v>770445.71534360689</v>
      </c>
      <c r="L6">
        <v>98</v>
      </c>
      <c r="N6">
        <v>1070666.6443866373</v>
      </c>
      <c r="O6">
        <v>98</v>
      </c>
      <c r="Q6">
        <v>1112833.741864675</v>
      </c>
      <c r="R6">
        <v>98</v>
      </c>
      <c r="T6">
        <v>954728.63350081642</v>
      </c>
      <c r="U6">
        <v>98</v>
      </c>
      <c r="W6">
        <v>766115.32017848711</v>
      </c>
      <c r="X6">
        <v>98</v>
      </c>
      <c r="Z6">
        <v>738211.98130497243</v>
      </c>
      <c r="AA6">
        <v>98</v>
      </c>
      <c r="AC6">
        <v>1130370.7227253639</v>
      </c>
      <c r="AD6">
        <v>98</v>
      </c>
      <c r="AF6">
        <v>1134265.7453134153</v>
      </c>
      <c r="AG6">
        <v>98</v>
      </c>
    </row>
    <row r="7" spans="1:33" x14ac:dyDescent="0.35">
      <c r="E7">
        <v>7584148.7114691334</v>
      </c>
      <c r="F7">
        <v>681.4162135955803</v>
      </c>
      <c r="H7">
        <v>7575133.7036318183</v>
      </c>
      <c r="I7">
        <v>1024.3160956769561</v>
      </c>
      <c r="K7">
        <v>7565273.8319499036</v>
      </c>
      <c r="L7">
        <v>962.29600705928897</v>
      </c>
      <c r="N7">
        <v>7551237.9703338668</v>
      </c>
      <c r="O7">
        <v>691.17808514214232</v>
      </c>
      <c r="Q7">
        <v>7566756.9271317776</v>
      </c>
      <c r="R7">
        <v>666.35486592667382</v>
      </c>
      <c r="T7">
        <v>7545142.5428507784</v>
      </c>
      <c r="U7">
        <v>774.48600916895407</v>
      </c>
      <c r="W7">
        <v>7578481.5209937459</v>
      </c>
      <c r="X7">
        <v>969.4247974108614</v>
      </c>
      <c r="Z7">
        <v>7571559.2644423032</v>
      </c>
      <c r="AA7">
        <v>1005.148692660954</v>
      </c>
      <c r="AC7">
        <v>7586372.9775753403</v>
      </c>
      <c r="AD7">
        <v>657.71745220883281</v>
      </c>
      <c r="AF7">
        <v>7567994.559854635</v>
      </c>
      <c r="AG7">
        <v>653.87099092974995</v>
      </c>
    </row>
    <row r="8" spans="1:33" x14ac:dyDescent="0.35">
      <c r="E8">
        <f>ABS(F3)/F4</f>
        <v>177.03780139081641</v>
      </c>
      <c r="F8">
        <f>F7/(E7/F6)</f>
        <v>8.8050474051729246E-3</v>
      </c>
      <c r="H8">
        <f>ABS(I3)/I4</f>
        <v>144.84582933088939</v>
      </c>
      <c r="I8">
        <f>I7/(H7/I6)</f>
        <v>1.325164430143512E-2</v>
      </c>
      <c r="K8">
        <f>ABS(L3)/L4</f>
        <v>149.94849688652491</v>
      </c>
      <c r="L8">
        <f>L7/(K7/L6)</f>
        <v>1.2465511597681823E-2</v>
      </c>
      <c r="N8">
        <f>ABS(O3)/O4</f>
        <v>177.78375177149056</v>
      </c>
      <c r="O8">
        <f>O7/(N7/O6)</f>
        <v>8.9701122663646011E-3</v>
      </c>
      <c r="Q8">
        <f>ABS(R3)/R4</f>
        <v>180.10355906440623</v>
      </c>
      <c r="R8">
        <f>R7/(Q7/R6)</f>
        <v>8.6302199858780751E-3</v>
      </c>
      <c r="T8">
        <f>ABS(U3)/U4</f>
        <v>168.30058542739587</v>
      </c>
      <c r="U8">
        <f>U7/(T7/U6)</f>
        <v>1.0059402916181405E-2</v>
      </c>
      <c r="W8">
        <f>ABS(X3)/X4</f>
        <v>148.71840218564645</v>
      </c>
      <c r="X8">
        <f>X7/(W7/X6)</f>
        <v>1.2535971735642214E-2</v>
      </c>
      <c r="Z8">
        <f>ABS(AA3)/AA4</f>
        <v>146.40046983765703</v>
      </c>
      <c r="AA8">
        <f>AA7/(Z7/AA6)</f>
        <v>1.3009813228745695E-2</v>
      </c>
      <c r="AC8">
        <f>ABS(AD3)/AD4</f>
        <v>180.06062866869857</v>
      </c>
      <c r="AD8">
        <f>AD7/(AC7/AD6)</f>
        <v>8.4963276267846135E-3</v>
      </c>
      <c r="AF8">
        <f>ABS(AG3)/AG4</f>
        <v>181.73737025524531</v>
      </c>
      <c r="AG8">
        <f>AG7/(AF7/AG6)</f>
        <v>8.4671515821420369E-3</v>
      </c>
    </row>
    <row r="9" spans="1:33" x14ac:dyDescent="0.35">
      <c r="A9" s="3" t="s">
        <v>1</v>
      </c>
      <c r="B9" s="3" t="s">
        <v>217</v>
      </c>
      <c r="C9" s="3"/>
      <c r="D9" s="3"/>
      <c r="E9" s="3"/>
      <c r="F9" s="3"/>
      <c r="G9" s="3"/>
      <c r="H9" s="3">
        <v>1</v>
      </c>
      <c r="I9" s="3">
        <v>2</v>
      </c>
      <c r="J9" s="3">
        <v>3</v>
      </c>
      <c r="K9" s="3">
        <v>4</v>
      </c>
      <c r="L9" s="3">
        <v>5</v>
      </c>
      <c r="M9" s="3">
        <v>6</v>
      </c>
      <c r="N9" s="3">
        <v>7</v>
      </c>
      <c r="O9" s="3">
        <v>8</v>
      </c>
      <c r="P9" s="3">
        <v>9</v>
      </c>
      <c r="Q9" s="3">
        <v>10</v>
      </c>
    </row>
    <row r="10" spans="1:33" x14ac:dyDescent="0.35">
      <c r="A10" s="1" t="s">
        <v>2</v>
      </c>
      <c r="B10" s="2">
        <v>2</v>
      </c>
      <c r="C10" s="4" t="s">
        <v>9</v>
      </c>
      <c r="D10" s="4" t="s">
        <v>5</v>
      </c>
      <c r="E10" s="4">
        <v>212</v>
      </c>
      <c r="F10" s="4" t="s">
        <v>216</v>
      </c>
      <c r="G10" s="4" t="s">
        <v>5</v>
      </c>
      <c r="H10" s="2">
        <f>$E10*$B$11+$B$10+'Станд.норм.распр.'!B3*$B$12+$C$1</f>
        <v>313.91564891388407</v>
      </c>
      <c r="I10" s="2">
        <f>$E10*$B$11+$B$10+'Станд.норм.распр.'!C3*$B$12+$C$1</f>
        <v>308.89485617232276</v>
      </c>
      <c r="J10" s="2">
        <f>$E10*$B$11+$B$10+'Станд.норм.распр.'!D3*$B$12+$C$1</f>
        <v>312.37545374248293</v>
      </c>
      <c r="K10" s="2">
        <f>$E10*$B$11+$B$10+'Станд.норм.распр.'!E3*$B$12+$C$1</f>
        <v>315.19771243589639</v>
      </c>
      <c r="L10" s="2">
        <f>$E10*$B$11+$B$10+'Станд.норм.распр.'!F3*$B$12+$C$1</f>
        <v>311.17976141558029</v>
      </c>
      <c r="M10" s="2">
        <f>$E10*$B$11+$B$10+'Станд.норм.распр.'!G3*$B$12+$C$1</f>
        <v>315.14471163215057</v>
      </c>
      <c r="N10" s="2">
        <f>$E10*$B$11+$B$10+'Станд.норм.распр.'!H3*$B$12+$C$1</f>
        <v>316.64779600911424</v>
      </c>
      <c r="O10" s="2">
        <f>$E10*$B$11+$B$10+'Станд.норм.распр.'!I3*$B$12+$C$1</f>
        <v>307.63319147960283</v>
      </c>
      <c r="P10" s="2">
        <f>$E10*$B$11+$B$10+'Станд.норм.распр.'!J3*$B$12+$C$1</f>
        <v>316.43456497628358</v>
      </c>
      <c r="Q10" s="2">
        <f>$E10*$B$11+$B$10+'Станд.норм.распр.'!K3*$B$12+$C$1</f>
        <v>311.16007778260973</v>
      </c>
    </row>
    <row r="11" spans="1:33" x14ac:dyDescent="0.35">
      <c r="A11" s="1" t="s">
        <v>3</v>
      </c>
      <c r="B11" s="2">
        <v>1</v>
      </c>
      <c r="C11" s="4" t="s">
        <v>10</v>
      </c>
      <c r="D11" s="4" t="s">
        <v>5</v>
      </c>
      <c r="E11" s="4">
        <v>780</v>
      </c>
      <c r="F11" s="4"/>
      <c r="G11" s="4" t="s">
        <v>5</v>
      </c>
      <c r="H11" s="2">
        <f>$E11*$B$11+$B$10+'Станд.норм.распр.'!B4*$B$12+$C$1</f>
        <v>881.59868091536919</v>
      </c>
      <c r="I11" s="2">
        <f>$E11*$B$11+$B$10+'Станд.норм.распр.'!C4*$B$12+$C$1</f>
        <v>888.17709702055436</v>
      </c>
      <c r="J11" s="2">
        <f>$E11*$B$11+$B$10+'Станд.норм.распр.'!D4*$B$12+$C$1</f>
        <v>888.13008523941971</v>
      </c>
      <c r="K11" s="2">
        <f>$E11*$B$11+$B$10+'Станд.норм.распр.'!E4*$B$12+$C$1</f>
        <v>885.90956301998813</v>
      </c>
      <c r="L11" s="2">
        <f>$E11*$B$11+$B$10+'Станд.норм.распр.'!F4*$B$12+$C$1</f>
        <v>884.35346760746324</v>
      </c>
      <c r="M11" s="2">
        <f>$E11*$B$11+$B$10+'Станд.норм.распр.'!G4*$B$12+$C$1</f>
        <v>879.25318730270374</v>
      </c>
      <c r="N11" s="2">
        <f>$E11*$B$11+$B$10+'Станд.норм.распр.'!H4*$B$12+$C$1</f>
        <v>879.42737134813797</v>
      </c>
      <c r="O11" s="2">
        <f>$E11*$B$11+$B$10+'Станд.норм.распр.'!I4*$B$12+$C$1</f>
        <v>883.9547746887838</v>
      </c>
      <c r="P11" s="2">
        <f>$E11*$B$11+$B$10+'Станд.норм.распр.'!J4*$B$12+$C$1</f>
        <v>882.14061924957787</v>
      </c>
      <c r="Q11" s="2">
        <f>$E11*$B$11+$B$10+'Станд.норм.распр.'!K4*$B$12+$C$1</f>
        <v>884.11069391298224</v>
      </c>
    </row>
    <row r="12" spans="1:33" x14ac:dyDescent="0.35">
      <c r="A12" s="1" t="s">
        <v>4</v>
      </c>
      <c r="B12" s="2">
        <v>3</v>
      </c>
      <c r="C12" s="4" t="s">
        <v>11</v>
      </c>
      <c r="D12" s="4" t="s">
        <v>5</v>
      </c>
      <c r="E12" s="4">
        <v>280</v>
      </c>
      <c r="F12" s="4"/>
      <c r="G12" s="4" t="s">
        <v>5</v>
      </c>
      <c r="H12" s="2">
        <f>$E12*$B$11+$B$10+'Станд.норм.распр.'!B5*$B$12+$C$1</f>
        <v>380.08421875968634</v>
      </c>
      <c r="I12" s="2">
        <f>$E12*$B$11+$B$10+'Станд.норм.распр.'!C5*$B$12+$C$1</f>
        <v>380.84417320572538</v>
      </c>
      <c r="J12" s="2">
        <f>$E12*$B$11+$B$10+'Станд.норм.распр.'!D5*$B$12+$C$1</f>
        <v>384.80419953924138</v>
      </c>
      <c r="K12" s="2">
        <f>$E12*$B$11+$B$10+'Станд.норм.распр.'!E5*$B$12+$C$1</f>
        <v>388.23758751316927</v>
      </c>
      <c r="L12" s="2">
        <f>$E12*$B$11+$B$10+'Станд.норм.распр.'!F5*$B$12+$C$1</f>
        <v>383.12006659946928</v>
      </c>
      <c r="M12" s="2">
        <f>$E12*$B$11+$B$10+'Станд.норм.распр.'!G5*$B$12+$C$1</f>
        <v>381.84536657393619</v>
      </c>
      <c r="N12" s="2">
        <f>$E12*$B$11+$B$10+'Станд.норм.распр.'!H5*$B$12+$C$1</f>
        <v>385.89397417468717</v>
      </c>
      <c r="O12" s="2">
        <f>$E12*$B$11+$B$10+'Станд.норм.распр.'!I5*$B$12+$C$1</f>
        <v>378.6196537570795</v>
      </c>
      <c r="P12" s="2">
        <f>$E12*$B$11+$B$10+'Станд.норм.распр.'!J5*$B$12+$C$1</f>
        <v>378.96013446737197</v>
      </c>
      <c r="Q12" s="2">
        <f>$E12*$B$11+$B$10+'Станд.норм.распр.'!K5*$B$12+$C$1</f>
        <v>379.89459593557694</v>
      </c>
    </row>
    <row r="13" spans="1:33" x14ac:dyDescent="0.35">
      <c r="C13" s="4" t="s">
        <v>12</v>
      </c>
      <c r="D13" s="4" t="s">
        <v>5</v>
      </c>
      <c r="E13" s="4">
        <v>888</v>
      </c>
      <c r="F13" s="4"/>
      <c r="G13" s="4" t="s">
        <v>5</v>
      </c>
      <c r="H13" s="2">
        <f>$E13*$B$11+$B$10+'Станд.норм.распр.'!B6*$B$12+$C$1</f>
        <v>987.32088781456696</v>
      </c>
      <c r="I13" s="2">
        <f>$E13*$B$11+$B$10+'Станд.норм.распр.'!C6*$B$12+$C$1</f>
        <v>996.43158273305744</v>
      </c>
      <c r="J13" s="2">
        <f>$E13*$B$11+$B$10+'Станд.норм.распр.'!D6*$B$12+$C$1</f>
        <v>989.91656977726961</v>
      </c>
      <c r="K13" s="2">
        <f>$E13*$B$11+$B$10+'Станд.норм.распр.'!E6*$B$12+$C$1</f>
        <v>989.08584868535399</v>
      </c>
      <c r="L13" s="2">
        <f>$E13*$B$11+$B$10+'Станд.норм.распр.'!F6*$B$12+$C$1</f>
        <v>990.95896666607587</v>
      </c>
      <c r="M13" s="2">
        <f>$E13*$B$11+$B$10+'Станд.норм.распр.'!G6*$B$12+$C$1</f>
        <v>990.87456101027783</v>
      </c>
      <c r="N13" s="2">
        <f>$E13*$B$11+$B$10+'Станд.норм.распр.'!H6*$B$12+$C$1</f>
        <v>996.73722752253525</v>
      </c>
      <c r="O13" s="2">
        <f>$E13*$B$11+$B$10+'Станд.норм.распр.'!I6*$B$12+$C$1</f>
        <v>990.931715931074</v>
      </c>
      <c r="P13" s="2">
        <f>$E13*$B$11+$B$10+'Станд.норм.распр.'!J6*$B$12+$C$1</f>
        <v>990.20636207409552</v>
      </c>
      <c r="Q13" s="2">
        <f>$E13*$B$11+$B$10+'Станд.норм.распр.'!K6*$B$12+$C$1</f>
        <v>990.13257704267744</v>
      </c>
    </row>
    <row r="14" spans="1:33" x14ac:dyDescent="0.35">
      <c r="C14" s="4" t="s">
        <v>13</v>
      </c>
      <c r="D14" s="4" t="s">
        <v>5</v>
      </c>
      <c r="E14" s="4">
        <v>314</v>
      </c>
      <c r="F14" s="4"/>
      <c r="G14" s="4" t="s">
        <v>5</v>
      </c>
      <c r="H14" s="2">
        <f>$E14*$B$11+$B$10+'Станд.норм.распр.'!B7*$B$12+$C$1</f>
        <v>416.01204625732498</v>
      </c>
      <c r="I14" s="2">
        <f>$E14*$B$11+$B$10+'Станд.норм.распр.'!C7*$B$12+$C$1</f>
        <v>416.20774336917384</v>
      </c>
      <c r="J14" s="2">
        <f>$E14*$B$11+$B$10+'Станд.норм.распр.'!D7*$B$12+$C$1</f>
        <v>417.38914288072556</v>
      </c>
      <c r="K14" s="2">
        <f>$E14*$B$11+$B$10+'Станд.норм.распр.'!E7*$B$12+$C$1</f>
        <v>415.88924400895485</v>
      </c>
      <c r="L14" s="2">
        <f>$E14*$B$11+$B$10+'Станд.норм.распр.'!F7*$B$12+$C$1</f>
        <v>416.63877564571158</v>
      </c>
      <c r="M14" s="2">
        <f>$E14*$B$11+$B$10+'Станд.норм.распр.'!G7*$B$12+$C$1</f>
        <v>415.73562353261514</v>
      </c>
      <c r="N14" s="2">
        <f>$E14*$B$11+$B$10+'Станд.норм.распр.'!H7*$B$12+$C$1</f>
        <v>415.20036316325422</v>
      </c>
      <c r="O14" s="2">
        <f>$E14*$B$11+$B$10+'Станд.норм.распр.'!I7*$B$12+$C$1</f>
        <v>417.09966777017689</v>
      </c>
      <c r="P14" s="2">
        <f>$E14*$B$11+$B$10+'Станд.норм.распр.'!J7*$B$12+$C$1</f>
        <v>416.1274430511985</v>
      </c>
      <c r="Q14" s="2">
        <f>$E14*$B$11+$B$10+'Станд.норм.распр.'!K7*$B$12+$C$1</f>
        <v>420.6045488488744</v>
      </c>
    </row>
    <row r="15" spans="1:33" x14ac:dyDescent="0.35">
      <c r="C15" s="4" t="s">
        <v>14</v>
      </c>
      <c r="D15" s="4" t="s">
        <v>5</v>
      </c>
      <c r="E15" s="4">
        <v>780</v>
      </c>
      <c r="F15" s="4"/>
      <c r="G15" s="4" t="s">
        <v>5</v>
      </c>
      <c r="H15" s="2">
        <f>$E15*$B$11+$B$10+'Станд.норм.распр.'!B8*$B$12+$C$1</f>
        <v>879.51662244307227</v>
      </c>
      <c r="I15" s="2">
        <f>$E15*$B$11+$B$10+'Станд.норм.распр.'!C8*$B$12+$C$1</f>
        <v>876.53335931320908</v>
      </c>
      <c r="J15" s="2">
        <f>$E15*$B$11+$B$10+'Станд.норм.распр.'!D8*$B$12+$C$1</f>
        <v>883.73650619217369</v>
      </c>
      <c r="K15" s="2">
        <f>$E15*$B$11+$B$10+'Станд.норм.распр.'!E8*$B$12+$C$1</f>
        <v>879.17298351242789</v>
      </c>
      <c r="L15" s="2">
        <f>$E15*$B$11+$B$10+'Станд.норм.распр.'!F8*$B$12+$C$1</f>
        <v>883.80699998963973</v>
      </c>
      <c r="M15" s="2">
        <f>$E15*$B$11+$B$10+'Станд.норм.распр.'!G8*$B$12+$C$1</f>
        <v>882.57295778788102</v>
      </c>
      <c r="N15" s="2">
        <f>$E15*$B$11+$B$10+'Станд.норм.распр.'!H8*$B$12+$C$1</f>
        <v>881.37178358777601</v>
      </c>
      <c r="O15" s="2">
        <f>$E15*$B$11+$B$10+'Станд.норм.распр.'!I8*$B$12+$C$1</f>
        <v>879.60919990876573</v>
      </c>
      <c r="P15" s="2">
        <f>$E15*$B$11+$B$10+'Станд.норм.распр.'!J8*$B$12+$C$1</f>
        <v>879.47664332971908</v>
      </c>
      <c r="Q15" s="2">
        <f>$E15*$B$11+$B$10+'Станд.норм.распр.'!K8*$B$12+$C$1</f>
        <v>884.75135562333162</v>
      </c>
    </row>
    <row r="16" spans="1:33" x14ac:dyDescent="0.35">
      <c r="C16" s="4" t="s">
        <v>15</v>
      </c>
      <c r="D16" s="4" t="s">
        <v>5</v>
      </c>
      <c r="E16" s="4">
        <v>993</v>
      </c>
      <c r="F16" s="4"/>
      <c r="G16" s="4" t="s">
        <v>5</v>
      </c>
      <c r="H16" s="2">
        <f>$E16*$B$11+$B$10+'Станд.норм.распр.'!B9*$B$12+$C$1</f>
        <v>1098.8860775930516</v>
      </c>
      <c r="I16" s="2">
        <f>$E16*$B$11+$B$10+'Станд.норм.распр.'!C9*$B$12+$C$1</f>
        <v>1092.248296494945</v>
      </c>
      <c r="J16" s="2">
        <f>$E16*$B$11+$B$10+'Станд.норм.распр.'!D9*$B$12+$C$1</f>
        <v>1097.7058854357165</v>
      </c>
      <c r="K16" s="2">
        <f>$E16*$B$11+$B$10+'Станд.норм.распр.'!E9*$B$12+$C$1</f>
        <v>1098.4178492569481</v>
      </c>
      <c r="L16" s="2">
        <f>$E16*$B$11+$B$10+'Станд.норм.распр.'!F9*$B$12+$C$1</f>
        <v>1095.7580990768474</v>
      </c>
      <c r="M16" s="2">
        <f>$E16*$B$11+$B$10+'Станд.норм.распр.'!G9*$B$12+$C$1</f>
        <v>1094.7819020336465</v>
      </c>
      <c r="N16" s="2">
        <f>$E16*$B$11+$B$10+'Станд.норм.распр.'!H9*$B$12+$C$1</f>
        <v>1096.7283718989347</v>
      </c>
      <c r="O16" s="2">
        <f>$E16*$B$11+$B$10+'Станд.норм.распр.'!I9*$B$12+$C$1</f>
        <v>1096.8476100649423</v>
      </c>
      <c r="P16" s="2">
        <f>$E16*$B$11+$B$10+'Станд.норм.распр.'!J9*$B$12+$C$1</f>
        <v>1097.2302560864773</v>
      </c>
      <c r="Q16" s="2">
        <f>$E16*$B$11+$B$10+'Станд.норм.распр.'!K9*$B$12+$C$1</f>
        <v>1095.5921356205363</v>
      </c>
    </row>
    <row r="17" spans="3:17" x14ac:dyDescent="0.35">
      <c r="C17" s="4" t="s">
        <v>16</v>
      </c>
      <c r="D17" s="4" t="s">
        <v>5</v>
      </c>
      <c r="E17" s="4">
        <v>326</v>
      </c>
      <c r="F17" s="4"/>
      <c r="G17" s="4" t="s">
        <v>5</v>
      </c>
      <c r="H17" s="2">
        <f>$E17*$B$11+$B$10+'Станд.норм.распр.'!B10*$B$12+$C$1</f>
        <v>428.99866269920312</v>
      </c>
      <c r="I17" s="2">
        <f>$E17*$B$11+$B$10+'Станд.норм.распр.'!C10*$B$12+$C$1</f>
        <v>421.51248334278353</v>
      </c>
      <c r="J17" s="2">
        <f>$E17*$B$11+$B$10+'Станд.норм.распр.'!D10*$B$12+$C$1</f>
        <v>425.81846099722316</v>
      </c>
      <c r="K17" s="2">
        <f>$E17*$B$11+$B$10+'Станд.норм.распр.'!E10*$B$12+$C$1</f>
        <v>429.33698108584213</v>
      </c>
      <c r="L17" s="2">
        <f>$E17*$B$11+$B$10+'Станд.норм.распр.'!F10*$B$12+$C$1</f>
        <v>428.07355993147939</v>
      </c>
      <c r="M17" s="2">
        <f>$E17*$B$11+$B$10+'Станд.норм.распр.'!G10*$B$12+$C$1</f>
        <v>433.41786903340835</v>
      </c>
      <c r="N17" s="2">
        <f>$E17*$B$11+$B$10+'Станд.норм.распр.'!H10*$B$12+$C$1</f>
        <v>432.1559110286471</v>
      </c>
      <c r="O17" s="2">
        <f>$E17*$B$11+$B$10+'Станд.норм.распр.'!I10*$B$12+$C$1</f>
        <v>428.87336388787662</v>
      </c>
      <c r="P17" s="2">
        <f>$E17*$B$11+$B$10+'Станд.норм.распр.'!J10*$B$12+$C$1</f>
        <v>430.49219294043723</v>
      </c>
      <c r="Q17" s="2">
        <f>$E17*$B$11+$B$10+'Станд.норм.распр.'!K10*$B$12+$C$1</f>
        <v>424.62094978702953</v>
      </c>
    </row>
    <row r="18" spans="3:17" x14ac:dyDescent="0.35">
      <c r="C18" s="4" t="s">
        <v>17</v>
      </c>
      <c r="D18" s="4" t="s">
        <v>5</v>
      </c>
      <c r="E18" s="4">
        <v>906</v>
      </c>
      <c r="F18" s="4"/>
      <c r="G18" s="4" t="s">
        <v>5</v>
      </c>
      <c r="H18" s="2">
        <f>$E18*$B$11+$B$10+'Станд.норм.распр.'!B11*$B$12+$C$1</f>
        <v>1010.0869492800557</v>
      </c>
      <c r="I18" s="2">
        <f>$E18*$B$11+$B$10+'Станд.норм.распр.'!C11*$B$12+$C$1</f>
        <v>1007.1739377946942</v>
      </c>
      <c r="J18" s="2">
        <f>$E18*$B$11+$B$10+'Станд.норм.распр.'!D11*$B$12+$C$1</f>
        <v>1005.9814981543313</v>
      </c>
      <c r="K18" s="2">
        <f>$E18*$B$11+$B$10+'Станд.норм.распр.'!E11*$B$12+$C$1</f>
        <v>1008.1318881004408</v>
      </c>
      <c r="L18" s="2">
        <f>$E18*$B$11+$B$10+'Станд.норм.распр.'!F11*$B$12+$C$1</f>
        <v>1007.2629716416559</v>
      </c>
      <c r="M18" s="2">
        <f>$E18*$B$11+$B$10+'Станд.норм.распр.'!G11*$B$12+$C$1</f>
        <v>1011.207585450582</v>
      </c>
      <c r="N18" s="2">
        <f>$E18*$B$11+$B$10+'Станд.норм.распр.'!H11*$B$12+$C$1</f>
        <v>1011.97541498387</v>
      </c>
      <c r="O18" s="2">
        <f>$E18*$B$11+$B$10+'Станд.норм.распр.'!I11*$B$12+$C$1</f>
        <v>1010.3926963876875</v>
      </c>
      <c r="P18" s="2">
        <f>$E18*$B$11+$B$10+'Станд.норм.распр.'!J11*$B$12+$C$1</f>
        <v>1011.3972901292145</v>
      </c>
      <c r="Q18" s="2">
        <f>$E18*$B$11+$B$10+'Станд.норм.распр.'!K11*$B$12+$C$1</f>
        <v>1009.0283042684023</v>
      </c>
    </row>
    <row r="19" spans="3:17" x14ac:dyDescent="0.35">
      <c r="C19" s="4" t="s">
        <v>18</v>
      </c>
      <c r="D19" s="4" t="s">
        <v>5</v>
      </c>
      <c r="E19" s="4">
        <v>790</v>
      </c>
      <c r="F19" s="4"/>
      <c r="G19" s="4" t="s">
        <v>5</v>
      </c>
      <c r="H19" s="2">
        <f>$E19*$B$11+$B$10+'Станд.норм.распр.'!B12*$B$12+$C$1</f>
        <v>892.7965468284965</v>
      </c>
      <c r="I19" s="2">
        <f>$E19*$B$11+$B$10+'Станд.норм.распр.'!C12*$B$12+$C$1</f>
        <v>885.56386069848668</v>
      </c>
      <c r="J19" s="2">
        <f>$E19*$B$11+$B$10+'Станд.норм.распр.'!D12*$B$12+$C$1</f>
        <v>893.53098653754569</v>
      </c>
      <c r="K19" s="2">
        <f>$E19*$B$11+$B$10+'Станд.норм.распр.'!E12*$B$12+$C$1</f>
        <v>896.50500010629185</v>
      </c>
      <c r="L19" s="2">
        <f>$E19*$B$11+$B$10+'Станд.норм.распр.'!F12*$B$12+$C$1</f>
        <v>893.71511146618286</v>
      </c>
      <c r="M19" s="2">
        <f>$E19*$B$11+$B$10+'Станд.норм.распр.'!G12*$B$12+$C$1</f>
        <v>894.78295829048147</v>
      </c>
      <c r="N19" s="2">
        <f>$E19*$B$11+$B$10+'Станд.норм.распр.'!H12*$B$12+$C$1</f>
        <v>899.76504748500884</v>
      </c>
      <c r="O19" s="2">
        <f>$E19*$B$11+$B$10+'Станд.норм.распр.'!I12*$B$12+$C$1</f>
        <v>895.58424586011097</v>
      </c>
      <c r="P19" s="2">
        <f>$E19*$B$11+$B$10+'Станд.норм.распр.'!J12*$B$12+$C$1</f>
        <v>892.28604063118109</v>
      </c>
      <c r="Q19" s="2">
        <f>$E19*$B$11+$B$10+'Станд.норм.распр.'!K12*$B$12+$C$1</f>
        <v>891.11897248239256</v>
      </c>
    </row>
    <row r="20" spans="3:17" x14ac:dyDescent="0.35">
      <c r="C20" s="4" t="s">
        <v>19</v>
      </c>
      <c r="D20" s="4" t="s">
        <v>5</v>
      </c>
      <c r="E20" s="4">
        <v>127</v>
      </c>
      <c r="F20" s="4"/>
      <c r="G20" s="4" t="s">
        <v>5</v>
      </c>
      <c r="H20" s="2">
        <f>$E20*$B$11+$B$10+'Станд.норм.распр.'!B13*$B$12+$C$1</f>
        <v>228.29344539850717</v>
      </c>
      <c r="I20" s="2">
        <f>$E20*$B$11+$B$10+'Станд.норм.распр.'!C13*$B$12+$C$1</f>
        <v>226.16079400968738</v>
      </c>
      <c r="J20" s="2">
        <f>$E20*$B$11+$B$10+'Станд.норм.распр.'!D13*$B$12+$C$1</f>
        <v>228.80559550749604</v>
      </c>
      <c r="K20" s="2">
        <f>$E20*$B$11+$B$10+'Станд.норм.распр.'!E13*$B$12+$C$1</f>
        <v>227.24963651917642</v>
      </c>
      <c r="L20" s="2">
        <f>$E20*$B$11+$B$10+'Станд.норм.распр.'!F13*$B$12+$C$1</f>
        <v>230.65599203683087</v>
      </c>
      <c r="M20" s="2">
        <f>$E20*$B$11+$B$10+'Станд.норм.распр.'!G13*$B$12+$C$1</f>
        <v>226.44281012681313</v>
      </c>
      <c r="N20" s="2">
        <f>$E20*$B$11+$B$10+'Станд.норм.распр.'!H13*$B$12+$C$1</f>
        <v>229.63502056946163</v>
      </c>
      <c r="O20" s="2">
        <f>$E20*$B$11+$B$10+'Станд.норм.распр.'!I13*$B$12+$C$1</f>
        <v>236.31386535335332</v>
      </c>
      <c r="P20" s="2">
        <f>$E20*$B$11+$B$10+'Станд.норм.распр.'!J13*$B$12+$C$1</f>
        <v>227.76965830480913</v>
      </c>
      <c r="Q20" s="2">
        <f>$E20*$B$11+$B$10+'Станд.норм.распр.'!K13*$B$12+$C$1</f>
        <v>228.62390575092286</v>
      </c>
    </row>
    <row r="21" spans="3:17" x14ac:dyDescent="0.35">
      <c r="C21" s="4" t="s">
        <v>20</v>
      </c>
      <c r="D21" s="4" t="s">
        <v>5</v>
      </c>
      <c r="E21" s="4">
        <v>685</v>
      </c>
      <c r="F21" s="4"/>
      <c r="G21" s="4" t="s">
        <v>5</v>
      </c>
      <c r="H21" s="2">
        <f>$E21*$B$11+$B$10+'Станд.норм.распр.'!B14*$B$12+$C$1</f>
        <v>786.09138068687753</v>
      </c>
      <c r="I21" s="2">
        <f>$E21*$B$11+$B$10+'Станд.норм.распр.'!C14*$B$12+$C$1</f>
        <v>784.97747022967087</v>
      </c>
      <c r="J21" s="2">
        <f>$E21*$B$11+$B$10+'Станд.норм.распр.'!D14*$B$12+$C$1</f>
        <v>787.01044327291311</v>
      </c>
      <c r="K21" s="2">
        <f>$E21*$B$11+$B$10+'Станд.норм.распр.'!E14*$B$12+$C$1</f>
        <v>787.81129428508575</v>
      </c>
      <c r="L21" s="2">
        <f>$E21*$B$11+$B$10+'Станд.норм.распр.'!F14*$B$12+$C$1</f>
        <v>788.53464952745708</v>
      </c>
      <c r="M21" s="2">
        <f>$E21*$B$11+$B$10+'Станд.норм.распр.'!G14*$B$12+$C$1</f>
        <v>783.87808895032504</v>
      </c>
      <c r="N21" s="2">
        <f>$E21*$B$11+$B$10+'Станд.норм.распр.'!H14*$B$12+$C$1</f>
        <v>788.36899302560778</v>
      </c>
      <c r="O21" s="2">
        <f>$E21*$B$11+$B$10+'Станд.норм.распр.'!I14*$B$12+$C$1</f>
        <v>784.89195271659992</v>
      </c>
      <c r="P21" s="2">
        <f>$E21*$B$11+$B$10+'Станд.норм.распр.'!J14*$B$12+$C$1</f>
        <v>784.28478996985359</v>
      </c>
      <c r="Q21" s="2">
        <f>$E21*$B$11+$B$10+'Станд.норм.распр.'!K14*$B$12+$C$1</f>
        <v>786.91013737599133</v>
      </c>
    </row>
    <row r="22" spans="3:17" x14ac:dyDescent="0.35">
      <c r="C22" s="4" t="s">
        <v>21</v>
      </c>
      <c r="D22" s="4" t="s">
        <v>5</v>
      </c>
      <c r="E22" s="4">
        <v>320</v>
      </c>
      <c r="F22" s="4"/>
      <c r="G22" s="4" t="s">
        <v>5</v>
      </c>
      <c r="H22" s="2">
        <f>$E22*$B$11+$B$10+'Станд.норм.распр.'!B15*$B$12+$C$1</f>
        <v>422.43979071051581</v>
      </c>
      <c r="I22" s="2">
        <f>$E22*$B$11+$B$10+'Станд.норм.распр.'!C15*$B$12+$C$1</f>
        <v>427.85374436923303</v>
      </c>
      <c r="J22" s="2">
        <f>$E22*$B$11+$B$10+'Станд.норм.распр.'!D15*$B$12+$C$1</f>
        <v>423.73460648511536</v>
      </c>
      <c r="K22" s="2">
        <f>$E22*$B$11+$B$10+'Станд.норм.распр.'!E15*$B$12+$C$1</f>
        <v>422.64041955738503</v>
      </c>
      <c r="L22" s="2">
        <f>$E22*$B$11+$B$10+'Станд.норм.распр.'!F15*$B$12+$C$1</f>
        <v>416.90070877072867</v>
      </c>
      <c r="M22" s="2">
        <f>$E22*$B$11+$B$10+'Станд.норм.распр.'!G15*$B$12+$C$1</f>
        <v>426.09505901188822</v>
      </c>
      <c r="N22" s="2">
        <f>$E22*$B$11+$B$10+'Станд.норм.распр.'!H15*$B$12+$C$1</f>
        <v>420.87502315989695</v>
      </c>
      <c r="O22" s="2">
        <f>$E22*$B$11+$B$10+'Станд.норм.распр.'!I15*$B$12+$C$1</f>
        <v>427.41552253707778</v>
      </c>
      <c r="P22" s="2">
        <f>$E22*$B$11+$B$10+'Станд.норм.распр.'!J15*$B$12+$C$1</f>
        <v>421.44502633297816</v>
      </c>
      <c r="Q22" s="2">
        <f>$E22*$B$11+$B$10+'Станд.норм.распр.'!K15*$B$12+$C$1</f>
        <v>421.02459421718959</v>
      </c>
    </row>
    <row r="23" spans="3:17" x14ac:dyDescent="0.35">
      <c r="C23" s="4" t="s">
        <v>22</v>
      </c>
      <c r="D23" s="4" t="s">
        <v>5</v>
      </c>
      <c r="E23" s="4">
        <v>658</v>
      </c>
      <c r="F23" s="4"/>
      <c r="G23" s="4" t="s">
        <v>5</v>
      </c>
      <c r="H23" s="2">
        <f>$E23*$B$11+$B$10+'Станд.норм.распр.'!B16*$B$12+$C$1</f>
        <v>760.01939270077855</v>
      </c>
      <c r="I23" s="2">
        <f>$E23*$B$11+$B$10+'Станд.норм.распр.'!C16*$B$12+$C$1</f>
        <v>761.02514263744524</v>
      </c>
      <c r="J23" s="2">
        <f>$E23*$B$11+$B$10+'Станд.норм.распр.'!D16*$B$12+$C$1</f>
        <v>759.96178758010501</v>
      </c>
      <c r="K23" s="2">
        <f>$E23*$B$11+$B$10+'Станд.норм.распр.'!E16*$B$12+$C$1</f>
        <v>756.27948000124888</v>
      </c>
      <c r="L23" s="2">
        <f>$E23*$B$11+$B$10+'Станд.норм.распр.'!F16*$B$12+$C$1</f>
        <v>765.33776074007619</v>
      </c>
      <c r="M23" s="2">
        <f>$E23*$B$11+$B$10+'Станд.норм.распр.'!G16*$B$12+$C$1</f>
        <v>761.86289298653719</v>
      </c>
      <c r="N23" s="2">
        <f>$E23*$B$11+$B$10+'Станд.норм.распр.'!H16*$B$12+$C$1</f>
        <v>760.19532535588951</v>
      </c>
      <c r="O23" s="2">
        <f>$E23*$B$11+$B$10+'Станд.норм.распр.'!I16*$B$12+$C$1</f>
        <v>758.50497829356755</v>
      </c>
      <c r="P23" s="2">
        <f>$E23*$B$11+$B$10+'Станд.норм.распр.'!J16*$B$12+$C$1</f>
        <v>758.6269313012599</v>
      </c>
      <c r="Q23" s="2">
        <f>$E23*$B$11+$B$10+'Станд.норм.распр.'!K16*$B$12+$C$1</f>
        <v>763.57910266757244</v>
      </c>
    </row>
    <row r="24" spans="3:17" x14ac:dyDescent="0.35">
      <c r="C24" s="4" t="s">
        <v>23</v>
      </c>
      <c r="D24" s="4" t="s">
        <v>5</v>
      </c>
      <c r="E24" s="4">
        <v>436</v>
      </c>
      <c r="F24" s="4"/>
      <c r="G24" s="4" t="s">
        <v>5</v>
      </c>
      <c r="H24" s="2">
        <f>$E24*$B$11+$B$10+'Станд.норм.распр.'!B17*$B$12+$C$1</f>
        <v>537.36756125862303</v>
      </c>
      <c r="I24" s="2">
        <f>$E24*$B$11+$B$10+'Станд.норм.распр.'!C17*$B$12+$C$1</f>
        <v>538.25124563762802</v>
      </c>
      <c r="J24" s="2">
        <f>$E24*$B$11+$B$10+'Станд.норм.распр.'!D17*$B$12+$C$1</f>
        <v>537.32737750896194</v>
      </c>
      <c r="K24" s="2">
        <f>$E24*$B$11+$B$10+'Станд.норм.распр.'!E17*$B$12+$C$1</f>
        <v>539.34966512632673</v>
      </c>
      <c r="L24" s="2">
        <f>$E24*$B$11+$B$10+'Станд.норм.распр.'!F17*$B$12+$C$1</f>
        <v>534.95591213821899</v>
      </c>
      <c r="M24" s="2">
        <f>$E24*$B$11+$B$10+'Станд.норм.распр.'!G17*$B$12+$C$1</f>
        <v>538.06070536073821</v>
      </c>
      <c r="N24" s="2">
        <f>$E24*$B$11+$B$10+'Станд.норм.распр.'!H17*$B$12+$C$1</f>
        <v>538.2510171270842</v>
      </c>
      <c r="O24" s="2">
        <f>$E24*$B$11+$B$10+'Станд.норм.распр.'!I17*$B$12+$C$1</f>
        <v>537.75059608914307</v>
      </c>
      <c r="P24" s="2">
        <f>$E24*$B$11+$B$10+'Станд.норм.распр.'!J17*$B$12+$C$1</f>
        <v>537.51398876874009</v>
      </c>
      <c r="Q24" s="2">
        <f>$E24*$B$11+$B$10+'Станд.норм.распр.'!K17*$B$12+$C$1</f>
        <v>537.60006768256426</v>
      </c>
    </row>
    <row r="25" spans="3:17" x14ac:dyDescent="0.35">
      <c r="C25" s="4" t="s">
        <v>24</v>
      </c>
      <c r="D25" s="4" t="s">
        <v>5</v>
      </c>
      <c r="E25" s="4">
        <v>686</v>
      </c>
      <c r="F25" s="4"/>
      <c r="G25" s="4" t="s">
        <v>5</v>
      </c>
      <c r="H25" s="2">
        <f>$E25*$B$11+$B$10+'Станд.норм.распр.'!B18*$B$12+$C$1</f>
        <v>787.30452986518503</v>
      </c>
      <c r="I25" s="2">
        <f>$E25*$B$11+$B$10+'Станд.норм.распр.'!C18*$B$12+$C$1</f>
        <v>788.59588046497083</v>
      </c>
      <c r="J25" s="2">
        <f>$E25*$B$11+$B$10+'Станд.норм.распр.'!D18*$B$12+$C$1</f>
        <v>790.9607735996251</v>
      </c>
      <c r="K25" s="2">
        <f>$E25*$B$11+$B$10+'Станд.норм.распр.'!E18*$B$12+$C$1</f>
        <v>788.40849840843293</v>
      </c>
      <c r="L25" s="2">
        <f>$E25*$B$11+$B$10+'Станд.норм.распр.'!F18*$B$12+$C$1</f>
        <v>789.70080738826073</v>
      </c>
      <c r="M25" s="2">
        <f>$E25*$B$11+$B$10+'Станд.норм.распр.'!G18*$B$12+$C$1</f>
        <v>786.16983518030611</v>
      </c>
      <c r="N25" s="2">
        <f>$E25*$B$11+$B$10+'Станд.норм.распр.'!H18*$B$12+$C$1</f>
        <v>784.5730011202395</v>
      </c>
      <c r="O25" s="2">
        <f>$E25*$B$11+$B$10+'Станд.норм.распр.'!I18*$B$12+$C$1</f>
        <v>789.66883637575665</v>
      </c>
      <c r="P25" s="2">
        <f>$E25*$B$11+$B$10+'Станд.норм.распр.'!J18*$B$12+$C$1</f>
        <v>784.52936139682424</v>
      </c>
      <c r="Q25" s="2">
        <f>$E25*$B$11+$B$10+'Станд.норм.распр.'!K18*$B$12+$C$1</f>
        <v>787.62252104523941</v>
      </c>
    </row>
    <row r="26" spans="3:17" x14ac:dyDescent="0.35">
      <c r="C26" s="4" t="s">
        <v>25</v>
      </c>
      <c r="D26" s="4" t="s">
        <v>5</v>
      </c>
      <c r="E26" s="4">
        <v>797</v>
      </c>
      <c r="F26" s="4"/>
      <c r="G26" s="4" t="s">
        <v>5</v>
      </c>
      <c r="H26" s="2">
        <f>$E26*$B$11+$B$10+'Станд.норм.распр.'!B19*$B$12+$C$1</f>
        <v>901.62753019342199</v>
      </c>
      <c r="I26" s="2">
        <f>$E26*$B$11+$B$10+'Станд.норм.распр.'!C19*$B$12+$C$1</f>
        <v>899.60828824643977</v>
      </c>
      <c r="J26" s="2">
        <f>$E26*$B$11+$B$10+'Станд.норм.распр.'!D19*$B$12+$C$1</f>
        <v>901.40850113186752</v>
      </c>
      <c r="K26" s="2">
        <f>$E26*$B$11+$B$10+'Станд.норм.распр.'!E19*$B$12+$C$1</f>
        <v>900.783664629329</v>
      </c>
      <c r="L26" s="2">
        <f>$E26*$B$11+$B$10+'Станд.норм.распр.'!F19*$B$12+$C$1</f>
        <v>893.41929741503554</v>
      </c>
      <c r="M26" s="2">
        <f>$E26*$B$11+$B$10+'Станд.норм.распр.'!G19*$B$12+$C$1</f>
        <v>902.25886048813118</v>
      </c>
      <c r="N26" s="2">
        <f>$E26*$B$11+$B$10+'Станд.норм.распр.'!H19*$B$12+$C$1</f>
        <v>897.18872755288612</v>
      </c>
      <c r="O26" s="2">
        <f>$E26*$B$11+$B$10+'Станд.норм.распр.'!I19*$B$12+$C$1</f>
        <v>898.61812136461958</v>
      </c>
      <c r="P26" s="2">
        <f>$E26*$B$11+$B$10+'Станд.норм.распр.'!J19*$B$12+$C$1</f>
        <v>896.33964614279103</v>
      </c>
      <c r="Q26" s="2">
        <f>$E26*$B$11+$B$10+'Станд.норм.распр.'!K19*$B$12+$C$1</f>
        <v>900.25710130305379</v>
      </c>
    </row>
    <row r="27" spans="3:17" x14ac:dyDescent="0.35">
      <c r="C27" s="4" t="s">
        <v>26</v>
      </c>
      <c r="D27" s="4" t="s">
        <v>5</v>
      </c>
      <c r="E27" s="4">
        <v>464</v>
      </c>
      <c r="F27" s="4"/>
      <c r="G27" s="4" t="s">
        <v>5</v>
      </c>
      <c r="H27" s="2">
        <f>$E27*$B$11+$B$10+'Станд.норм.распр.'!B20*$B$12+$C$1</f>
        <v>563.91568370710593</v>
      </c>
      <c r="I27" s="2">
        <f>$E27*$B$11+$B$10+'Станд.норм.распр.'!C20*$B$12+$C$1</f>
        <v>566.38118287193356</v>
      </c>
      <c r="J27" s="2">
        <f>$E27*$B$11+$B$10+'Станд.норм.распр.'!D20*$B$12+$C$1</f>
        <v>565.73401031638787</v>
      </c>
      <c r="K27" s="2">
        <f>$E27*$B$11+$B$10+'Станд.норм.распр.'!E20*$B$12+$C$1</f>
        <v>567.03780280369392</v>
      </c>
      <c r="L27" s="2">
        <f>$E27*$B$11+$B$10+'Станд.норм.распр.'!F20*$B$12+$C$1</f>
        <v>561.40659700869583</v>
      </c>
      <c r="M27" s="2">
        <f>$E27*$B$11+$B$10+'Станд.норм.распр.'!G20*$B$12+$C$1</f>
        <v>566.1155785867013</v>
      </c>
      <c r="N27" s="2">
        <f>$E27*$B$11+$B$10+'Станд.норм.распр.'!H20*$B$12+$C$1</f>
        <v>571.89592673350126</v>
      </c>
      <c r="O27" s="2">
        <f>$E27*$B$11+$B$10+'Станд.норм.распр.'!I20*$B$12+$C$1</f>
        <v>565.65672941470984</v>
      </c>
      <c r="P27" s="2">
        <f>$E27*$B$11+$B$10+'Станд.норм.распр.'!J20*$B$12+$C$1</f>
        <v>566.07470930540876</v>
      </c>
      <c r="Q27" s="2">
        <f>$E27*$B$11+$B$10+'Станд.норм.распр.'!K20*$B$12+$C$1</f>
        <v>563.93491952004842</v>
      </c>
    </row>
    <row r="28" spans="3:17" x14ac:dyDescent="0.35">
      <c r="C28" s="4" t="s">
        <v>27</v>
      </c>
      <c r="D28" s="4" t="s">
        <v>5</v>
      </c>
      <c r="E28" s="4">
        <v>514</v>
      </c>
      <c r="F28" s="4"/>
      <c r="G28" s="4" t="s">
        <v>5</v>
      </c>
      <c r="H28" s="2">
        <f>$E28*$B$11+$B$10+'Станд.норм.распр.'!B21*$B$12+$C$1</f>
        <v>613.75883679831168</v>
      </c>
      <c r="I28" s="2">
        <f>$E28*$B$11+$B$10+'Станд.норм.распр.'!C21*$B$12+$C$1</f>
        <v>611.07133452425478</v>
      </c>
      <c r="J28" s="2">
        <f>$E28*$B$11+$B$10+'Станд.норм.распр.'!D21*$B$12+$C$1</f>
        <v>617.45823833008762</v>
      </c>
      <c r="K28" s="2">
        <f>$E28*$B$11+$B$10+'Станд.норм.распр.'!E21*$B$12+$C$1</f>
        <v>616.56034195949906</v>
      </c>
      <c r="L28" s="2">
        <f>$E28*$B$11+$B$10+'Станд.норм.распр.'!F21*$B$12+$C$1</f>
        <v>617.39093344841967</v>
      </c>
      <c r="M28" s="2">
        <f>$E28*$B$11+$B$10+'Станд.норм.распр.'!G21*$B$12+$C$1</f>
        <v>616.69476072894759</v>
      </c>
      <c r="N28" s="2">
        <f>$E28*$B$11+$B$10+'Станд.норм.распр.'!H21*$B$12+$C$1</f>
        <v>615.4511084726837</v>
      </c>
      <c r="O28" s="2">
        <f>$E28*$B$11+$B$10+'Станд.норм.распр.'!I21*$B$12+$C$1</f>
        <v>615.09450139057299</v>
      </c>
      <c r="P28" s="2">
        <f>$E28*$B$11+$B$10+'Станд.норм.распр.'!J21*$B$12+$C$1</f>
        <v>618.59635044130846</v>
      </c>
      <c r="Q28" s="2">
        <f>$E28*$B$11+$B$10+'Станд.норм.распр.'!K21*$B$12+$C$1</f>
        <v>620.75885826745071</v>
      </c>
    </row>
    <row r="29" spans="3:17" x14ac:dyDescent="0.35">
      <c r="C29" s="4" t="s">
        <v>28</v>
      </c>
      <c r="D29" s="4" t="s">
        <v>5</v>
      </c>
      <c r="E29" s="4">
        <v>724</v>
      </c>
      <c r="F29" s="4"/>
      <c r="G29" s="4" t="s">
        <v>5</v>
      </c>
      <c r="H29" s="2">
        <f>$E29*$B$11+$B$10+'Станд.норм.распр.'!B22*$B$12+$C$1</f>
        <v>824.59986473893514</v>
      </c>
      <c r="I29" s="2">
        <f>$E29*$B$11+$B$10+'Станд.норм.распр.'!C22*$B$12+$C$1</f>
        <v>828.67705900114379</v>
      </c>
      <c r="J29" s="2">
        <f>$E29*$B$11+$B$10+'Станд.норм.распр.'!D22*$B$12+$C$1</f>
        <v>824.1924543135392</v>
      </c>
      <c r="K29" s="2">
        <f>$E29*$B$11+$B$10+'Станд.норм.распр.'!E22*$B$12+$C$1</f>
        <v>825.50026449369034</v>
      </c>
      <c r="L29" s="2">
        <f>$E29*$B$11+$B$10+'Станд.норм.распр.'!F22*$B$12+$C$1</f>
        <v>820.82533677716856</v>
      </c>
      <c r="M29" s="2">
        <f>$E29*$B$11+$B$10+'Станд.норм.распр.'!G22*$B$12+$C$1</f>
        <v>828.58768750427407</v>
      </c>
      <c r="N29" s="2">
        <f>$E29*$B$11+$B$10+'Станд.норм.распр.'!H22*$B$12+$C$1</f>
        <v>825.48629806567624</v>
      </c>
      <c r="O29" s="2">
        <f>$E29*$B$11+$B$10+'Станд.норм.распр.'!I22*$B$12+$C$1</f>
        <v>825.73493459037854</v>
      </c>
      <c r="P29" s="2">
        <f>$E29*$B$11+$B$10+'Станд.норм.распр.'!J22*$B$12+$C$1</f>
        <v>823.55104909127112</v>
      </c>
      <c r="Q29" s="2">
        <f>$E29*$B$11+$B$10+'Станд.норм.распр.'!K22*$B$12+$C$1</f>
        <v>828.28110138777993</v>
      </c>
    </row>
    <row r="30" spans="3:17" x14ac:dyDescent="0.35">
      <c r="C30" s="4" t="s">
        <v>29</v>
      </c>
      <c r="D30" s="4" t="s">
        <v>5</v>
      </c>
      <c r="E30" s="4">
        <v>63</v>
      </c>
      <c r="F30" s="4"/>
      <c r="G30" s="4" t="s">
        <v>5</v>
      </c>
      <c r="H30" s="2">
        <f>$E30*$B$11+$B$10+'Станд.норм.распр.'!B23*$B$12+$C$1</f>
        <v>166.54433564603096</v>
      </c>
      <c r="I30" s="2">
        <f>$E30*$B$11+$B$10+'Станд.норм.распр.'!C23*$B$12+$C$1</f>
        <v>167.06188133233809</v>
      </c>
      <c r="J30" s="2">
        <f>$E30*$B$11+$B$10+'Станд.норм.распр.'!D23*$B$12+$C$1</f>
        <v>163.03926016284095</v>
      </c>
      <c r="K30" s="2">
        <f>$E30*$B$11+$B$10+'Станд.норм.распр.'!E23*$B$12+$C$1</f>
        <v>162.89723915455397</v>
      </c>
      <c r="L30" s="2">
        <f>$E30*$B$11+$B$10+'Станд.норм.распр.'!F23*$B$12+$C$1</f>
        <v>166.34382617034134</v>
      </c>
      <c r="M30" s="2">
        <f>$E30*$B$11+$B$10+'Станд.норм.распр.'!G23*$B$12+$C$1</f>
        <v>166.2403347682266</v>
      </c>
      <c r="N30" s="2">
        <f>$E30*$B$11+$B$10+'Станд.норм.распр.'!H23*$B$12+$C$1</f>
        <v>164.09089638094883</v>
      </c>
      <c r="O30" s="2">
        <f>$E30*$B$11+$B$10+'Станд.норм.распр.'!I23*$B$12+$C$1</f>
        <v>160.04099378100364</v>
      </c>
      <c r="P30" s="2">
        <f>$E30*$B$11+$B$10+'Станд.норм.распр.'!J23*$B$12+$C$1</f>
        <v>164.15580701781437</v>
      </c>
      <c r="Q30" s="2">
        <f>$E30*$B$11+$B$10+'Станд.норм.распр.'!K23*$B$12+$C$1</f>
        <v>161.9997520565812</v>
      </c>
    </row>
    <row r="31" spans="3:17" x14ac:dyDescent="0.35">
      <c r="C31" s="4" t="s">
        <v>30</v>
      </c>
      <c r="D31" s="4" t="s">
        <v>5</v>
      </c>
      <c r="E31" s="4">
        <v>298</v>
      </c>
      <c r="F31" s="4"/>
      <c r="G31" s="4" t="s">
        <v>5</v>
      </c>
      <c r="H31" s="2">
        <f>$E31*$B$11+$B$10+'Станд.норм.распр.'!B24*$B$12+$C$1</f>
        <v>401.9070671442023</v>
      </c>
      <c r="I31" s="2">
        <f>$E31*$B$11+$B$10+'Станд.норм.распр.'!C24*$B$12+$C$1</f>
        <v>401.42809199132898</v>
      </c>
      <c r="J31" s="2">
        <f>$E31*$B$11+$B$10+'Станд.норм.распр.'!D24*$B$12+$C$1</f>
        <v>395.58709987468319</v>
      </c>
      <c r="K31" s="2">
        <f>$E31*$B$11+$B$10+'Станд.норм.распр.'!E24*$B$12+$C$1</f>
        <v>404.02736532123527</v>
      </c>
      <c r="L31" s="2">
        <f>$E31*$B$11+$B$10+'Станд.норм.распр.'!F24*$B$12+$C$1</f>
        <v>400.7427070158883</v>
      </c>
      <c r="M31" s="2">
        <f>$E31*$B$11+$B$10+'Станд.норм.распр.'!G24*$B$12+$C$1</f>
        <v>400.98000327852787</v>
      </c>
      <c r="N31" s="2">
        <f>$E31*$B$11+$B$10+'Станд.норм.распр.'!H24*$B$12+$C$1</f>
        <v>398.91849235305563</v>
      </c>
      <c r="O31" s="2">
        <f>$E31*$B$11+$B$10+'Станд.норм.распр.'!I24*$B$12+$C$1</f>
        <v>393.05928213289008</v>
      </c>
      <c r="P31" s="2">
        <f>$E31*$B$11+$B$10+'Станд.норм.распр.'!J24*$B$12+$C$1</f>
        <v>399.43825628179184</v>
      </c>
      <c r="Q31" s="2">
        <f>$E31*$B$11+$B$10+'Станд.норм.распр.'!K24*$B$12+$C$1</f>
        <v>403.61631919076899</v>
      </c>
    </row>
    <row r="32" spans="3:17" x14ac:dyDescent="0.35">
      <c r="C32" s="4" t="s">
        <v>31</v>
      </c>
      <c r="D32" s="4" t="s">
        <v>5</v>
      </c>
      <c r="E32" s="4">
        <v>689</v>
      </c>
      <c r="F32" s="4"/>
      <c r="G32" s="4" t="s">
        <v>5</v>
      </c>
      <c r="H32" s="2">
        <f>$E32*$B$11+$B$10+'Станд.норм.распр.'!B25*$B$12+$C$1</f>
        <v>788.50756387584261</v>
      </c>
      <c r="I32" s="2">
        <f>$E32*$B$11+$B$10+'Станд.норм.распр.'!C25*$B$12+$C$1</f>
        <v>793.73879777523689</v>
      </c>
      <c r="J32" s="2">
        <f>$E32*$B$11+$B$10+'Станд.норм.распр.'!D25*$B$12+$C$1</f>
        <v>794.11678832076723</v>
      </c>
      <c r="K32" s="2">
        <f>$E32*$B$11+$B$10+'Станд.норм.распр.'!E25*$B$12+$C$1</f>
        <v>789.98968667366717</v>
      </c>
      <c r="L32" s="2">
        <f>$E32*$B$11+$B$10+'Станд.норм.распр.'!F25*$B$12+$C$1</f>
        <v>795.35680249211146</v>
      </c>
      <c r="M32" s="2">
        <f>$E32*$B$11+$B$10+'Станд.норм.распр.'!G25*$B$12+$C$1</f>
        <v>791.46811237552902</v>
      </c>
      <c r="N32" s="2">
        <f>$E32*$B$11+$B$10+'Станд.норм.распр.'!H25*$B$12+$C$1</f>
        <v>793.19351022678893</v>
      </c>
      <c r="O32" s="2">
        <f>$E32*$B$11+$B$10+'Станд.норм.распр.'!I25*$B$12+$C$1</f>
        <v>793.85360556517844</v>
      </c>
      <c r="P32" s="2">
        <f>$E32*$B$11+$B$10+'Станд.норм.распр.'!J25*$B$12+$C$1</f>
        <v>791.33186108036898</v>
      </c>
      <c r="Q32" s="2">
        <f>$E32*$B$11+$B$10+'Станд.норм.распр.'!K25*$B$12+$C$1</f>
        <v>786.74666162516223</v>
      </c>
    </row>
    <row r="33" spans="3:17" x14ac:dyDescent="0.35">
      <c r="C33" s="4" t="s">
        <v>32</v>
      </c>
      <c r="D33" s="4" t="s">
        <v>5</v>
      </c>
      <c r="E33" s="4">
        <v>278</v>
      </c>
      <c r="F33" s="4"/>
      <c r="G33" s="4" t="s">
        <v>5</v>
      </c>
      <c r="H33" s="2">
        <f>$E33*$B$11+$B$10+'Станд.норм.распр.'!B26*$B$12+$C$1</f>
        <v>377.98178805576754</v>
      </c>
      <c r="I33" s="2">
        <f>$E33*$B$11+$B$10+'Станд.норм.распр.'!C26*$B$12+$C$1</f>
        <v>380.96863232101896</v>
      </c>
      <c r="J33" s="2">
        <f>$E33*$B$11+$B$10+'Станд.норм.распр.'!D26*$B$12+$C$1</f>
        <v>382.59068201557966</v>
      </c>
      <c r="K33" s="2">
        <f>$E33*$B$11+$B$10+'Станд.норм.распр.'!E26*$B$12+$C$1</f>
        <v>383.59175601261086</v>
      </c>
      <c r="L33" s="2">
        <f>$E33*$B$11+$B$10+'Станд.норм.распр.'!F26*$B$12+$C$1</f>
        <v>381.17017521006346</v>
      </c>
      <c r="M33" s="2">
        <f>$E33*$B$11+$B$10+'Станд.норм.распр.'!G26*$B$12+$C$1</f>
        <v>379.66527639116975</v>
      </c>
      <c r="N33" s="2">
        <f>$E33*$B$11+$B$10+'Станд.норм.распр.'!H26*$B$12+$C$1</f>
        <v>383.23044332617428</v>
      </c>
      <c r="O33" s="2">
        <f>$E33*$B$11+$B$10+'Станд.норм.распр.'!I26*$B$12+$C$1</f>
        <v>377.78122401039582</v>
      </c>
      <c r="P33" s="2">
        <f>$E33*$B$11+$B$10+'Станд.норм.распр.'!J26*$B$12+$C$1</f>
        <v>379.98198518369463</v>
      </c>
      <c r="Q33" s="2">
        <f>$E33*$B$11+$B$10+'Станд.норм.распр.'!K26*$B$12+$C$1</f>
        <v>383.7180507206358</v>
      </c>
    </row>
    <row r="34" spans="3:17" x14ac:dyDescent="0.35">
      <c r="C34" s="4" t="s">
        <v>33</v>
      </c>
      <c r="D34" s="4" t="s">
        <v>5</v>
      </c>
      <c r="E34" s="4">
        <v>701</v>
      </c>
      <c r="F34" s="4"/>
      <c r="G34" s="4" t="s">
        <v>5</v>
      </c>
      <c r="H34" s="2">
        <f>$E34*$B$11+$B$10+'Станд.норм.распр.'!B27*$B$12+$C$1</f>
        <v>804.1560723578441</v>
      </c>
      <c r="I34" s="2">
        <f>$E34*$B$11+$B$10+'Станд.норм.распр.'!C27*$B$12+$C$1</f>
        <v>799.12293322570622</v>
      </c>
      <c r="J34" s="2">
        <f>$E34*$B$11+$B$10+'Станд.норм.распр.'!D27*$B$12+$C$1</f>
        <v>804.34053152578417</v>
      </c>
      <c r="K34" s="2">
        <f>$E34*$B$11+$B$10+'Станд.норм.распр.'!E27*$B$12+$C$1</f>
        <v>801.62845925235888</v>
      </c>
      <c r="L34" s="2">
        <f>$E34*$B$11+$B$10+'Станд.норм.распр.'!F27*$B$12+$C$1</f>
        <v>805.23539927901584</v>
      </c>
      <c r="M34" s="2">
        <f>$E34*$B$11+$B$10+'Станд.норм.распр.'!G27*$B$12+$C$1</f>
        <v>803.52022301133547</v>
      </c>
      <c r="N34" s="2">
        <f>$E34*$B$11+$B$10+'Станд.норм.распр.'!H27*$B$12+$C$1</f>
        <v>799.05038965455606</v>
      </c>
      <c r="O34" s="2">
        <f>$E34*$B$11+$B$10+'Станд.норм.распр.'!I27*$B$12+$C$1</f>
        <v>798.42283148912247</v>
      </c>
      <c r="P34" s="2">
        <f>$E34*$B$11+$B$10+'Станд.норм.распр.'!J27*$B$12+$C$1</f>
        <v>802.46042862575268</v>
      </c>
      <c r="Q34" s="2">
        <f>$E34*$B$11+$B$10+'Станд.норм.распр.'!K27*$B$12+$C$1</f>
        <v>800.8618848217593</v>
      </c>
    </row>
    <row r="35" spans="3:17" x14ac:dyDescent="0.35">
      <c r="C35" s="4" t="s">
        <v>34</v>
      </c>
      <c r="D35" s="4" t="s">
        <v>5</v>
      </c>
      <c r="E35" s="4">
        <v>219</v>
      </c>
      <c r="F35" s="4"/>
      <c r="G35" s="4" t="s">
        <v>5</v>
      </c>
      <c r="H35" s="2">
        <f>$E35*$B$11+$B$10+'Станд.норм.распр.'!B28*$B$12+$C$1</f>
        <v>322.59301180246985</v>
      </c>
      <c r="I35" s="2">
        <f>$E35*$B$11+$B$10+'Станд.норм.распр.'!C28*$B$12+$C$1</f>
        <v>324.46839442499913</v>
      </c>
      <c r="J35" s="2">
        <f>$E35*$B$11+$B$10+'Станд.норм.распр.'!D28*$B$12+$C$1</f>
        <v>321.13808858057018</v>
      </c>
      <c r="K35" s="2">
        <f>$E35*$B$11+$B$10+'Станд.норм.распр.'!E28*$B$12+$C$1</f>
        <v>321.5146330295247</v>
      </c>
      <c r="L35" s="2">
        <f>$E35*$B$11+$B$10+'Станд.норм.распр.'!F28*$B$12+$C$1</f>
        <v>322.8645641830517</v>
      </c>
      <c r="M35" s="2">
        <f>$E35*$B$11+$B$10+'Станд.норм.распр.'!G28*$B$12+$C$1</f>
        <v>322.6242802303168</v>
      </c>
      <c r="N35" s="2">
        <f>$E35*$B$11+$B$10+'Станд.норм.распр.'!H28*$B$12+$C$1</f>
        <v>321.21579580788966</v>
      </c>
      <c r="O35" s="2">
        <f>$E35*$B$11+$B$10+'Станд.норм.распр.'!I28*$B$12+$C$1</f>
        <v>317.69227236154256</v>
      </c>
      <c r="P35" s="2">
        <f>$E35*$B$11+$B$10+'Станд.норм.распр.'!J28*$B$12+$C$1</f>
        <v>321.82511064647406</v>
      </c>
      <c r="Q35" s="2">
        <f>$E35*$B$11+$B$10+'Станд.норм.распр.'!K28*$B$12+$C$1</f>
        <v>320.6574251781567</v>
      </c>
    </row>
    <row r="36" spans="3:17" x14ac:dyDescent="0.35">
      <c r="C36" s="4" t="s">
        <v>35</v>
      </c>
      <c r="D36" s="4" t="s">
        <v>5</v>
      </c>
      <c r="E36" s="4">
        <v>666</v>
      </c>
      <c r="F36" s="4"/>
      <c r="G36" s="4" t="s">
        <v>5</v>
      </c>
      <c r="H36" s="2">
        <f>$E36*$B$11+$B$10+'Станд.норм.распр.'!B29*$B$12+$C$1</f>
        <v>769.27139855976566</v>
      </c>
      <c r="I36" s="2">
        <f>$E36*$B$11+$B$10+'Станд.норм.распр.'!C29*$B$12+$C$1</f>
        <v>771.06489255308406</v>
      </c>
      <c r="J36" s="2">
        <f>$E36*$B$11+$B$10+'Станд.норм.распр.'!D29*$B$12+$C$1</f>
        <v>765.61455455882242</v>
      </c>
      <c r="K36" s="2">
        <f>$E36*$B$11+$B$10+'Станд.норм.распр.'!E29*$B$12+$C$1</f>
        <v>763.5034854792757</v>
      </c>
      <c r="L36" s="2">
        <f>$E36*$B$11+$B$10+'Станд.норм.распр.'!F29*$B$12+$C$1</f>
        <v>770.17825117942994</v>
      </c>
      <c r="M36" s="2">
        <f>$E36*$B$11+$B$10+'Станд.норм.распр.'!G29*$B$12+$C$1</f>
        <v>770.395534011157</v>
      </c>
      <c r="N36" s="2">
        <f>$E36*$B$11+$B$10+'Станд.норм.распр.'!H29*$B$12+$C$1</f>
        <v>766.47084154680488</v>
      </c>
      <c r="O36" s="2">
        <f>$E36*$B$11+$B$10+'Станд.норм.распр.'!I29*$B$12+$C$1</f>
        <v>769.27114617498592</v>
      </c>
      <c r="P36" s="2">
        <f>$E36*$B$11+$B$10+'Станд.норм.распр.'!J29*$B$12+$C$1</f>
        <v>766.56650902074762</v>
      </c>
      <c r="Q36" s="2">
        <f>$E36*$B$11+$B$10+'Станд.норм.распр.'!K29*$B$12+$C$1</f>
        <v>769.4758234101464</v>
      </c>
    </row>
    <row r="37" spans="3:17" x14ac:dyDescent="0.35">
      <c r="C37" s="4" t="s">
        <v>36</v>
      </c>
      <c r="D37" s="4" t="s">
        <v>5</v>
      </c>
      <c r="E37" s="4">
        <v>92</v>
      </c>
      <c r="F37" s="4"/>
      <c r="G37" s="4" t="s">
        <v>5</v>
      </c>
      <c r="H37" s="2">
        <f>$E37*$B$11+$B$10+'Станд.норм.распр.'!B30*$B$12+$C$1</f>
        <v>192.51873326406348</v>
      </c>
      <c r="I37" s="2">
        <f>$E37*$B$11+$B$10+'Станд.норм.распр.'!C30*$B$12+$C$1</f>
        <v>197.4532172321633</v>
      </c>
      <c r="J37" s="2">
        <f>$E37*$B$11+$B$10+'Станд.норм.распр.'!D30*$B$12+$C$1</f>
        <v>191.75944388602511</v>
      </c>
      <c r="K37" s="2">
        <f>$E37*$B$11+$B$10+'Станд.норм.распр.'!E30*$B$12+$C$1</f>
        <v>194.89013724391407</v>
      </c>
      <c r="L37" s="2">
        <f>$E37*$B$11+$B$10+'Станд.норм.распр.'!F30*$B$12+$C$1</f>
        <v>196.28631279242109</v>
      </c>
      <c r="M37" s="2">
        <f>$E37*$B$11+$B$10+'Станд.норм.распр.'!G30*$B$12+$C$1</f>
        <v>196.45471483140136</v>
      </c>
      <c r="N37" s="2">
        <f>$E37*$B$11+$B$10+'Станд.норм.распр.'!H30*$B$12+$C$1</f>
        <v>195.94655513041653</v>
      </c>
      <c r="O37" s="2">
        <f>$E37*$B$11+$B$10+'Станд.норм.распр.'!I30*$B$12+$C$1</f>
        <v>199.21493802807527</v>
      </c>
      <c r="P37" s="2">
        <f>$E37*$B$11+$B$10+'Станд.норм.распр.'!J30*$B$12+$C$1</f>
        <v>193.65349616104504</v>
      </c>
      <c r="Q37" s="2">
        <f>$E37*$B$11+$B$10+'Станд.норм.распр.'!K30*$B$12+$C$1</f>
        <v>197.90420154872118</v>
      </c>
    </row>
    <row r="38" spans="3:17" x14ac:dyDescent="0.35">
      <c r="C38" s="4" t="s">
        <v>37</v>
      </c>
      <c r="D38" s="4" t="s">
        <v>5</v>
      </c>
      <c r="E38" s="4">
        <v>250</v>
      </c>
      <c r="F38" s="4"/>
      <c r="G38" s="4" t="s">
        <v>5</v>
      </c>
      <c r="H38" s="2">
        <f>$E38*$B$11+$B$10+'Станд.норм.распр.'!B31*$B$12+$C$1</f>
        <v>352.83727286437352</v>
      </c>
      <c r="I38" s="2">
        <f>$E38*$B$11+$B$10+'Станд.норм.распр.'!C31*$B$12+$C$1</f>
        <v>356.05065293307416</v>
      </c>
      <c r="J38" s="2">
        <f>$E38*$B$11+$B$10+'Станд.норм.распр.'!D31*$B$12+$C$1</f>
        <v>360.79903382156044</v>
      </c>
      <c r="K38" s="2">
        <f>$E38*$B$11+$B$10+'Станд.норм.распр.'!E31*$B$12+$C$1</f>
        <v>348.21321194354095</v>
      </c>
      <c r="L38" s="2">
        <f>$E38*$B$11+$B$10+'Станд.норм.распр.'!F31*$B$12+$C$1</f>
        <v>347.72860144023434</v>
      </c>
      <c r="M38" s="2">
        <f>$E38*$B$11+$B$10+'Станд.норм.распр.'!G31*$B$12+$C$1</f>
        <v>350.70471356189228</v>
      </c>
      <c r="N38" s="2">
        <f>$E38*$B$11+$B$10+'Станд.норм.распр.'!H31*$B$12+$C$1</f>
        <v>352.85160081653157</v>
      </c>
      <c r="O38" s="2">
        <f>$E38*$B$11+$B$10+'Станд.норм.распр.'!I31*$B$12+$C$1</f>
        <v>352.6893412773934</v>
      </c>
      <c r="P38" s="2">
        <f>$E38*$B$11+$B$10+'Станд.норм.распр.'!J31*$B$12+$C$1</f>
        <v>353.98323959921254</v>
      </c>
      <c r="Q38" s="2">
        <f>$E38*$B$11+$B$10+'Станд.норм.распр.'!K31*$B$12+$C$1</f>
        <v>350.4640442107775</v>
      </c>
    </row>
    <row r="39" spans="3:17" x14ac:dyDescent="0.35">
      <c r="C39" s="4" t="s">
        <v>38</v>
      </c>
      <c r="D39" s="4" t="s">
        <v>5</v>
      </c>
      <c r="E39" s="4">
        <v>252</v>
      </c>
      <c r="F39" s="4"/>
      <c r="G39" s="4" t="s">
        <v>5</v>
      </c>
      <c r="H39" s="2">
        <f>$E39*$B$11+$B$10+'Станд.норм.распр.'!B32*$B$12+$C$1</f>
        <v>360.89482476445846</v>
      </c>
      <c r="I39" s="2">
        <f>$E39*$B$11+$B$10+'Станд.норм.распр.'!C32*$B$12+$C$1</f>
        <v>350.36558413840248</v>
      </c>
      <c r="J39" s="2">
        <f>$E39*$B$11+$B$10+'Станд.норм.распр.'!D32*$B$12+$C$1</f>
        <v>353.33725803202833</v>
      </c>
      <c r="K39" s="2">
        <f>$E39*$B$11+$B$10+'Станд.норм.распр.'!E32*$B$12+$C$1</f>
        <v>358.03868853027234</v>
      </c>
      <c r="L39" s="2">
        <f>$E39*$B$11+$B$10+'Станд.норм.распр.'!F32*$B$12+$C$1</f>
        <v>354.87312514551741</v>
      </c>
      <c r="M39" s="2">
        <f>$E39*$B$11+$B$10+'Станд.норм.распр.'!G32*$B$12+$C$1</f>
        <v>354.87168928075698</v>
      </c>
      <c r="N39" s="2">
        <f>$E39*$B$11+$B$10+'Станд.норм.распр.'!H32*$B$12+$C$1</f>
        <v>354.2107344698743</v>
      </c>
      <c r="O39" s="2">
        <f>$E39*$B$11+$B$10+'Станд.норм.распр.'!I32*$B$12+$C$1</f>
        <v>351.02949935453944</v>
      </c>
      <c r="P39" s="2">
        <f>$E39*$B$11+$B$10+'Станд.норм.распр.'!J32*$B$12+$C$1</f>
        <v>356.3945858629304</v>
      </c>
      <c r="Q39" s="2">
        <f>$E39*$B$11+$B$10+'Станд.норм.распр.'!K32*$B$12+$C$1</f>
        <v>349.70933596260147</v>
      </c>
    </row>
    <row r="40" spans="3:17" x14ac:dyDescent="0.35">
      <c r="C40" s="4" t="s">
        <v>39</v>
      </c>
      <c r="D40" s="4" t="s">
        <v>5</v>
      </c>
      <c r="E40" s="4">
        <v>110</v>
      </c>
      <c r="F40" s="4"/>
      <c r="G40" s="4" t="s">
        <v>5</v>
      </c>
      <c r="H40" s="2">
        <f>$E40*$B$11+$B$10+'Станд.норм.распр.'!B33*$B$12+$C$1</f>
        <v>212.30102683012956</v>
      </c>
      <c r="I40" s="2">
        <f>$E40*$B$11+$B$10+'Станд.норм.распр.'!C33*$B$12+$C$1</f>
        <v>206.93061295652296</v>
      </c>
      <c r="J40" s="2">
        <f>$E40*$B$11+$B$10+'Станд.норм.распр.'!D33*$B$12+$C$1</f>
        <v>218.76614945405163</v>
      </c>
      <c r="K40" s="2">
        <f>$E40*$B$11+$B$10+'Станд.норм.распр.'!E33*$B$12+$C$1</f>
        <v>209.00768512411742</v>
      </c>
      <c r="L40" s="2">
        <f>$E40*$B$11+$B$10+'Станд.норм.распр.'!F33*$B$12+$C$1</f>
        <v>209.71276634419337</v>
      </c>
      <c r="M40" s="2">
        <f>$E40*$B$11+$B$10+'Станд.норм.распр.'!G33*$B$12+$C$1</f>
        <v>215.24646634908277</v>
      </c>
      <c r="N40" s="2">
        <f>$E40*$B$11+$B$10+'Станд.норм.распр.'!H33*$B$12+$C$1</f>
        <v>212.02214846972493</v>
      </c>
      <c r="O40" s="2">
        <f>$E40*$B$11+$B$10+'Станд.норм.распр.'!I33*$B$12+$C$1</f>
        <v>212.05129550117999</v>
      </c>
      <c r="P40" s="2">
        <f>$E40*$B$11+$B$10+'Станд.норм.распр.'!J33*$B$12+$C$1</f>
        <v>210.58654291529092</v>
      </c>
      <c r="Q40" s="2">
        <f>$E40*$B$11+$B$10+'Станд.норм.распр.'!K33*$B$12+$C$1</f>
        <v>203.87686626100913</v>
      </c>
    </row>
    <row r="41" spans="3:17" x14ac:dyDescent="0.35">
      <c r="C41" s="4" t="s">
        <v>40</v>
      </c>
      <c r="D41" s="4" t="s">
        <v>5</v>
      </c>
      <c r="E41" s="4">
        <v>185</v>
      </c>
      <c r="F41" s="4"/>
      <c r="G41" s="4" t="s">
        <v>5</v>
      </c>
      <c r="H41" s="2">
        <f>$E41*$B$11+$B$10+'Станд.норм.распр.'!B34*$B$12+$C$1</f>
        <v>289.16334001379437</v>
      </c>
      <c r="I41" s="2">
        <f>$E41*$B$11+$B$10+'Станд.норм.распр.'!C34*$B$12+$C$1</f>
        <v>288.85983026312897</v>
      </c>
      <c r="J41" s="2">
        <f>$E41*$B$11+$B$10+'Станд.норм.распр.'!D34*$B$12+$C$1</f>
        <v>285.55131136428099</v>
      </c>
      <c r="K41" s="2">
        <f>$E41*$B$11+$B$10+'Станд.норм.распр.'!E34*$B$12+$C$1</f>
        <v>286.84605551617278</v>
      </c>
      <c r="L41" s="2">
        <f>$E41*$B$11+$B$10+'Станд.норм.распр.'!F34*$B$12+$C$1</f>
        <v>288.0324447430321</v>
      </c>
      <c r="M41" s="2">
        <f>$E41*$B$11+$B$10+'Станд.норм.распр.'!G34*$B$12+$C$1</f>
        <v>293.17327714280691</v>
      </c>
      <c r="N41" s="2">
        <f>$E41*$B$11+$B$10+'Станд.норм.распр.'!H34*$B$12+$C$1</f>
        <v>276.71819877624512</v>
      </c>
      <c r="O41" s="2">
        <f>$E41*$B$11+$B$10+'Станд.норм.распр.'!I34*$B$12+$C$1</f>
        <v>286.52235839373316</v>
      </c>
      <c r="P41" s="2">
        <f>$E41*$B$11+$B$10+'Станд.норм.распр.'!J34*$B$12+$C$1</f>
        <v>281.43124579556752</v>
      </c>
      <c r="Q41" s="2">
        <f>$E41*$B$11+$B$10+'Станд.норм.распр.'!K34*$B$12+$C$1</f>
        <v>286.92988477970357</v>
      </c>
    </row>
    <row r="42" spans="3:17" x14ac:dyDescent="0.35">
      <c r="C42" s="4" t="s">
        <v>41</v>
      </c>
      <c r="D42" s="4" t="s">
        <v>5</v>
      </c>
      <c r="E42" s="4">
        <v>281</v>
      </c>
      <c r="F42" s="4"/>
      <c r="G42" s="4" t="s">
        <v>5</v>
      </c>
      <c r="H42" s="2">
        <f>$E42*$B$11+$B$10+'Станд.норм.распр.'!B35*$B$12+$C$1</f>
        <v>379.64336428395472</v>
      </c>
      <c r="I42" s="2">
        <f>$E42*$B$11+$B$10+'Станд.норм.распр.'!C35*$B$12+$C$1</f>
        <v>382.48443587527436</v>
      </c>
      <c r="J42" s="2">
        <f>$E42*$B$11+$B$10+'Станд.норм.распр.'!D35*$B$12+$C$1</f>
        <v>379.95014821554651</v>
      </c>
      <c r="K42" s="2">
        <f>$E42*$B$11+$B$10+'Станд.норм.распр.'!E35*$B$12+$C$1</f>
        <v>383.67756445787381</v>
      </c>
      <c r="L42" s="2">
        <f>$E42*$B$11+$B$10+'Станд.норм.распр.'!F35*$B$12+$C$1</f>
        <v>382.84146143106045</v>
      </c>
      <c r="M42" s="2">
        <f>$E42*$B$11+$B$10+'Станд.норм.распр.'!G35*$B$12+$C$1</f>
        <v>380.03473804402165</v>
      </c>
      <c r="N42" s="2">
        <f>$E42*$B$11+$B$10+'Станд.норм.распр.'!H35*$B$12+$C$1</f>
        <v>388.32108970219269</v>
      </c>
      <c r="O42" s="2">
        <f>$E42*$B$11+$B$10+'Станд.норм.распр.'!I35*$B$12+$C$1</f>
        <v>385.94067149297916</v>
      </c>
      <c r="P42" s="2">
        <f>$E42*$B$11+$B$10+'Станд.норм.распр.'!J35*$B$12+$C$1</f>
        <v>384.09917664303794</v>
      </c>
      <c r="Q42" s="2">
        <f>$E42*$B$11+$B$10+'Станд.норм.распр.'!K35*$B$12+$C$1</f>
        <v>384.84705413630581</v>
      </c>
    </row>
    <row r="43" spans="3:17" x14ac:dyDescent="0.35">
      <c r="C43" s="4" t="s">
        <v>42</v>
      </c>
      <c r="D43" s="4" t="s">
        <v>5</v>
      </c>
      <c r="E43" s="4">
        <v>315</v>
      </c>
      <c r="F43" s="4"/>
      <c r="G43" s="4" t="s">
        <v>5</v>
      </c>
      <c r="H43" s="2">
        <f>$E43*$B$11+$B$10+'Станд.норм.распр.'!B36*$B$12+$C$1</f>
        <v>416.19203446552274</v>
      </c>
      <c r="I43" s="2">
        <f>$E43*$B$11+$B$10+'Станд.норм.распр.'!C36*$B$12+$C$1</f>
        <v>421.04324509872822</v>
      </c>
      <c r="J43" s="2">
        <f>$E43*$B$11+$B$10+'Станд.норм.распр.'!D36*$B$12+$C$1</f>
        <v>418.93156552086293</v>
      </c>
      <c r="K43" s="2">
        <f>$E43*$B$11+$B$10+'Станд.норм.распр.'!E36*$B$12+$C$1</f>
        <v>418.99611122297938</v>
      </c>
      <c r="L43" s="2">
        <f>$E43*$B$11+$B$10+'Станд.норм.распр.'!F36*$B$12+$C$1</f>
        <v>419.93770426651463</v>
      </c>
      <c r="M43" s="2">
        <f>$E43*$B$11+$B$10+'Станд.норм.распр.'!G36*$B$12+$C$1</f>
        <v>413.9075156514009</v>
      </c>
      <c r="N43" s="2">
        <f>$E43*$B$11+$B$10+'Станд.норм.распр.'!H36*$B$12+$C$1</f>
        <v>412.21020072279498</v>
      </c>
      <c r="O43" s="2">
        <f>$E43*$B$11+$B$10+'Станд.норм.распр.'!I36*$B$12+$C$1</f>
        <v>415.38129951967858</v>
      </c>
      <c r="P43" s="2">
        <f>$E43*$B$11+$B$10+'Станд.норм.распр.'!J36*$B$12+$C$1</f>
        <v>412.08280779991765</v>
      </c>
      <c r="Q43" s="2">
        <f>$E43*$B$11+$B$10+'Станд.норм.распр.'!K36*$B$12+$C$1</f>
        <v>420.55443717126036</v>
      </c>
    </row>
    <row r="44" spans="3:17" x14ac:dyDescent="0.35">
      <c r="C44" s="4" t="s">
        <v>43</v>
      </c>
      <c r="D44" s="4" t="s">
        <v>5</v>
      </c>
      <c r="E44" s="4">
        <v>883</v>
      </c>
      <c r="F44" s="4"/>
      <c r="G44" s="4" t="s">
        <v>5</v>
      </c>
      <c r="H44" s="2">
        <f>$E44*$B$11+$B$10+'Станд.норм.распр.'!B37*$B$12+$C$1</f>
        <v>985.44930629883311</v>
      </c>
      <c r="I44" s="2">
        <f>$E44*$B$11+$B$10+'Станд.норм.распр.'!C37*$B$12+$C$1</f>
        <v>986.31420847537811</v>
      </c>
      <c r="J44" s="2">
        <f>$E44*$B$11+$B$10+'Станд.норм.распр.'!D37*$B$12+$C$1</f>
        <v>984.76372009768966</v>
      </c>
      <c r="K44" s="2">
        <f>$E44*$B$11+$B$10+'Станд.норм.распр.'!E37*$B$12+$C$1</f>
        <v>982.64653239253676</v>
      </c>
      <c r="L44" s="2">
        <f>$E44*$B$11+$B$10+'Станд.норм.распр.'!F37*$B$12+$C$1</f>
        <v>982.56192210043082</v>
      </c>
      <c r="M44" s="2">
        <f>$E44*$B$11+$B$10+'Станд.норм.распр.'!G37*$B$12+$C$1</f>
        <v>985.86283534983522</v>
      </c>
      <c r="N44" s="2">
        <f>$E44*$B$11+$B$10+'Станд.норм.распр.'!H37*$B$12+$C$1</f>
        <v>983.62132426642347</v>
      </c>
      <c r="O44" s="2">
        <f>$E44*$B$11+$B$10+'Станд.норм.распр.'!I37*$B$12+$C$1</f>
        <v>987.2100380192569</v>
      </c>
      <c r="P44" s="2">
        <f>$E44*$B$11+$B$10+'Станд.норм.распр.'!J37*$B$12+$C$1</f>
        <v>981.59573177268612</v>
      </c>
      <c r="Q44" s="2">
        <f>$E44*$B$11+$B$10+'Станд.норм.распр.'!K37*$B$12+$C$1</f>
        <v>984.07863525550056</v>
      </c>
    </row>
    <row r="45" spans="3:17" x14ac:dyDescent="0.35">
      <c r="C45" s="4" t="s">
        <v>44</v>
      </c>
      <c r="D45" s="4" t="s">
        <v>5</v>
      </c>
      <c r="E45" s="4">
        <v>75</v>
      </c>
      <c r="F45" s="4"/>
      <c r="G45" s="4" t="s">
        <v>5</v>
      </c>
      <c r="H45" s="2">
        <f>$E45*$B$11+$B$10+'Станд.норм.распр.'!B38*$B$12+$C$1</f>
        <v>177.5893252819078</v>
      </c>
      <c r="I45" s="2">
        <f>$E45*$B$11+$B$10+'Станд.норм.распр.'!C38*$B$12+$C$1</f>
        <v>177.13900944395573</v>
      </c>
      <c r="J45" s="2">
        <f>$E45*$B$11+$B$10+'Станд.норм.распр.'!D38*$B$12+$C$1</f>
        <v>181.2508418118814</v>
      </c>
      <c r="K45" s="2">
        <f>$E45*$B$11+$B$10+'Станд.норм.распр.'!E38*$B$12+$C$1</f>
        <v>175.15627461430267</v>
      </c>
      <c r="L45" s="2">
        <f>$E45*$B$11+$B$10+'Станд.норм.распр.'!F38*$B$12+$C$1</f>
        <v>181.13979250879493</v>
      </c>
      <c r="M45" s="2">
        <f>$E45*$B$11+$B$10+'Станд.норм.распр.'!G38*$B$12+$C$1</f>
        <v>175.72533749112335</v>
      </c>
      <c r="N45" s="2">
        <f>$E45*$B$11+$B$10+'Станд.норм.распр.'!H38*$B$12+$C$1</f>
        <v>181.45946170657407</v>
      </c>
      <c r="O45" s="2">
        <f>$E45*$B$11+$B$10+'Станд.норм.распр.'!I38*$B$12+$C$1</f>
        <v>179.88989440377918</v>
      </c>
      <c r="P45" s="2">
        <f>$E45*$B$11+$B$10+'Станд.норм.распр.'!J38*$B$12+$C$1</f>
        <v>176.38491441753285</v>
      </c>
      <c r="Q45" s="2">
        <f>$E45*$B$11+$B$10+'Станд.норм.распр.'!K38*$B$12+$C$1</f>
        <v>179.95704239761108</v>
      </c>
    </row>
    <row r="46" spans="3:17" x14ac:dyDescent="0.35">
      <c r="C46" s="4" t="s">
        <v>45</v>
      </c>
      <c r="D46" s="4" t="s">
        <v>5</v>
      </c>
      <c r="E46" s="4">
        <v>763</v>
      </c>
      <c r="F46" s="4"/>
      <c r="G46" s="4" t="s">
        <v>5</v>
      </c>
      <c r="H46" s="2">
        <f>$E46*$B$11+$B$10+'Станд.норм.распр.'!B39*$B$12+$C$1</f>
        <v>863.9170032677066</v>
      </c>
      <c r="I46" s="2">
        <f>$E46*$B$11+$B$10+'Станд.норм.распр.'!C39*$B$12+$C$1</f>
        <v>870.33664206159301</v>
      </c>
      <c r="J46" s="2">
        <f>$E46*$B$11+$B$10+'Станд.норм.распр.'!D39*$B$12+$C$1</f>
        <v>868.33952812070493</v>
      </c>
      <c r="K46" s="2">
        <f>$E46*$B$11+$B$10+'Станд.норм.распр.'!E39*$B$12+$C$1</f>
        <v>863.93706444709096</v>
      </c>
      <c r="L46" s="2">
        <f>$E46*$B$11+$B$10+'Станд.норм.распр.'!F39*$B$12+$C$1</f>
        <v>863.8725494404207</v>
      </c>
      <c r="M46" s="2">
        <f>$E46*$B$11+$B$10+'Станд.норм.распр.'!G39*$B$12+$C$1</f>
        <v>861.75229901185958</v>
      </c>
      <c r="N46" s="2">
        <f>$E46*$B$11+$B$10+'Станд.норм.распр.'!H39*$B$12+$C$1</f>
        <v>862.56351826363243</v>
      </c>
      <c r="O46" s="2">
        <f>$E46*$B$11+$B$10+'Станд.норм.распр.'!I39*$B$12+$C$1</f>
        <v>865.60009256230842</v>
      </c>
      <c r="P46" s="2">
        <f>$E46*$B$11+$B$10+'Станд.норм.распр.'!J39*$B$12+$C$1</f>
        <v>862.48675918453955</v>
      </c>
      <c r="Q46" s="2">
        <f>$E46*$B$11+$B$10+'Станд.норм.распр.'!K39*$B$12+$C$1</f>
        <v>866.60359149958822</v>
      </c>
    </row>
    <row r="47" spans="3:17" x14ac:dyDescent="0.35">
      <c r="C47" s="4" t="s">
        <v>46</v>
      </c>
      <c r="D47" s="4" t="s">
        <v>5</v>
      </c>
      <c r="E47" s="4">
        <v>438</v>
      </c>
      <c r="F47" s="4"/>
      <c r="G47" s="4" t="s">
        <v>5</v>
      </c>
      <c r="H47" s="2">
        <f>$E47*$B$11+$B$10+'Станд.норм.распр.'!B40*$B$12+$C$1</f>
        <v>543.23864924212103</v>
      </c>
      <c r="I47" s="2">
        <f>$E47*$B$11+$B$10+'Станд.норм.распр.'!C40*$B$12+$C$1</f>
        <v>535.53359430137789</v>
      </c>
      <c r="J47" s="2">
        <f>$E47*$B$11+$B$10+'Станд.норм.распр.'!D40*$B$12+$C$1</f>
        <v>545.11394318891689</v>
      </c>
      <c r="K47" s="2">
        <f>$E47*$B$11+$B$10+'Станд.норм.распр.'!E40*$B$12+$C$1</f>
        <v>544.39805717178388</v>
      </c>
      <c r="L47" s="2">
        <f>$E47*$B$11+$B$10+'Станд.норм.распр.'!F40*$B$12+$C$1</f>
        <v>542.11598717214656</v>
      </c>
      <c r="M47" s="2">
        <f>$E47*$B$11+$B$10+'Станд.норм.распр.'!G40*$B$12+$C$1</f>
        <v>539.48094000501442</v>
      </c>
      <c r="N47" s="2">
        <f>$E47*$B$11+$B$10+'Станд.норм.распр.'!H40*$B$12+$C$1</f>
        <v>540.43793534132419</v>
      </c>
      <c r="O47" s="2">
        <f>$E47*$B$11+$B$10+'Станд.норм.распр.'!I40*$B$12+$C$1</f>
        <v>543.01846739603207</v>
      </c>
      <c r="P47" s="2">
        <f>$E47*$B$11+$B$10+'Станд.норм.распр.'!J40*$B$12+$C$1</f>
        <v>541.75009063241305</v>
      </c>
      <c r="Q47" s="2">
        <f>$E47*$B$11+$B$10+'Станд.норм.распр.'!K40*$B$12+$C$1</f>
        <v>540.78894117905293</v>
      </c>
    </row>
    <row r="48" spans="3:17" x14ac:dyDescent="0.35">
      <c r="C48" s="4" t="s">
        <v>47</v>
      </c>
      <c r="D48" s="4" t="s">
        <v>5</v>
      </c>
      <c r="E48" s="4">
        <v>752</v>
      </c>
      <c r="F48" s="4"/>
      <c r="G48" s="4" t="s">
        <v>5</v>
      </c>
      <c r="H48" s="2">
        <f>$E48*$B$11+$B$10+'Станд.норм.распр.'!B41*$B$12+$C$1</f>
        <v>852.11926272741402</v>
      </c>
      <c r="I48" s="2">
        <f>$E48*$B$11+$B$10+'Станд.норм.распр.'!C41*$B$12+$C$1</f>
        <v>855.60041281560552</v>
      </c>
      <c r="J48" s="2">
        <f>$E48*$B$11+$B$10+'Станд.норм.распр.'!D41*$B$12+$C$1</f>
        <v>857.79290668206522</v>
      </c>
      <c r="K48" s="2">
        <f>$E48*$B$11+$B$10+'Станд.норм.распр.'!E41*$B$12+$C$1</f>
        <v>853.28235070001392</v>
      </c>
      <c r="L48" s="2">
        <f>$E48*$B$11+$B$10+'Станд.норм.распр.'!F41*$B$12+$C$1</f>
        <v>855.41217469717958</v>
      </c>
      <c r="M48" s="2">
        <f>$E48*$B$11+$B$10+'Станд.норм.распр.'!G41*$B$12+$C$1</f>
        <v>850.0487457428826</v>
      </c>
      <c r="N48" s="2">
        <f>$E48*$B$11+$B$10+'Станд.норм.распр.'!H41*$B$12+$C$1</f>
        <v>846.08870576694608</v>
      </c>
      <c r="O48" s="2">
        <f>$E48*$B$11+$B$10+'Станд.норм.распр.'!I41*$B$12+$C$1</f>
        <v>850.19942627759883</v>
      </c>
      <c r="P48" s="2">
        <f>$E48*$B$11+$B$10+'Станд.норм.распр.'!J41*$B$12+$C$1</f>
        <v>854.62047774918028</v>
      </c>
      <c r="Q48" s="2">
        <f>$E48*$B$11+$B$10+'Станд.норм.распр.'!K41*$B$12+$C$1</f>
        <v>851.98437329445733</v>
      </c>
    </row>
    <row r="49" spans="3:17" x14ac:dyDescent="0.35">
      <c r="C49" s="4" t="s">
        <v>48</v>
      </c>
      <c r="D49" s="4" t="s">
        <v>5</v>
      </c>
      <c r="E49" s="4">
        <v>607</v>
      </c>
      <c r="F49" s="4"/>
      <c r="G49" s="4" t="s">
        <v>5</v>
      </c>
      <c r="H49" s="2">
        <f>$E49*$B$11+$B$10+'Станд.норм.распр.'!B42*$B$12+$C$1</f>
        <v>709.01755779521773</v>
      </c>
      <c r="I49" s="2">
        <f>$E49*$B$11+$B$10+'Станд.норм.распр.'!C42*$B$12+$C$1</f>
        <v>710.11711642603041</v>
      </c>
      <c r="J49" s="2">
        <f>$E49*$B$11+$B$10+'Станд.норм.распр.'!D42*$B$12+$C$1</f>
        <v>701.51827830448747</v>
      </c>
      <c r="K49" s="2">
        <f>$E49*$B$11+$B$10+'Станд.норм.распр.'!E42*$B$12+$C$1</f>
        <v>711.69315705736517</v>
      </c>
      <c r="L49" s="2">
        <f>$E49*$B$11+$B$10+'Станд.норм.распр.'!F42*$B$12+$C$1</f>
        <v>705.38368080923101</v>
      </c>
      <c r="M49" s="2">
        <f>$E49*$B$11+$B$10+'Станд.норм.распр.'!G42*$B$12+$C$1</f>
        <v>703.82717612409033</v>
      </c>
      <c r="N49" s="2">
        <f>$E49*$B$11+$B$10+'Станд.норм.распр.'!H42*$B$12+$C$1</f>
        <v>709.53047870096634</v>
      </c>
      <c r="O49" s="2">
        <f>$E49*$B$11+$B$10+'Станд.норм.распр.'!I42*$B$12+$C$1</f>
        <v>715.17327714280691</v>
      </c>
      <c r="P49" s="2">
        <f>$E49*$B$11+$B$10+'Станд.норм.распр.'!J42*$B$12+$C$1</f>
        <v>706.34983020971413</v>
      </c>
      <c r="Q49" s="2">
        <f>$E49*$B$11+$B$10+'Станд.норм.распр.'!K42*$B$12+$C$1</f>
        <v>706.95812527736416</v>
      </c>
    </row>
    <row r="50" spans="3:17" x14ac:dyDescent="0.35">
      <c r="C50" s="4" t="s">
        <v>49</v>
      </c>
      <c r="D50" s="4" t="s">
        <v>5</v>
      </c>
      <c r="E50" s="4">
        <v>733</v>
      </c>
      <c r="F50" s="4"/>
      <c r="G50" s="4" t="s">
        <v>5</v>
      </c>
      <c r="H50" s="2">
        <f>$E50*$B$11+$B$10+'Станд.норм.распр.'!B43*$B$12+$C$1</f>
        <v>834.2321841091325</v>
      </c>
      <c r="I50" s="2">
        <f>$E50*$B$11+$B$10+'Станд.норм.распр.'!C43*$B$12+$C$1</f>
        <v>836.28220335682272</v>
      </c>
      <c r="J50" s="2">
        <f>$E50*$B$11+$B$10+'Станд.норм.распр.'!D43*$B$12+$C$1</f>
        <v>836.72728732650285</v>
      </c>
      <c r="K50" s="2">
        <f>$E50*$B$11+$B$10+'Станд.норм.распр.'!E43*$B$12+$C$1</f>
        <v>834.55765815684572</v>
      </c>
      <c r="L50" s="2">
        <f>$E50*$B$11+$B$10+'Станд.норм.распр.'!F43*$B$12+$C$1</f>
        <v>838.43282181347604</v>
      </c>
      <c r="M50" s="2">
        <f>$E50*$B$11+$B$10+'Станд.норм.распр.'!G43*$B$12+$C$1</f>
        <v>832.85921772854635</v>
      </c>
      <c r="N50" s="2">
        <f>$E50*$B$11+$B$10+'Станд.норм.распр.'!H43*$B$12+$C$1</f>
        <v>834.91358208717429</v>
      </c>
      <c r="O50" s="2">
        <f>$E50*$B$11+$B$10+'Станд.норм.распр.'!I43*$B$12+$C$1</f>
        <v>834.64078824632452</v>
      </c>
      <c r="P50" s="2">
        <f>$E50*$B$11+$B$10+'Станд.норм.распр.'!J43*$B$12+$C$1</f>
        <v>836.8430865717819</v>
      </c>
      <c r="Q50" s="2">
        <f>$E50*$B$11+$B$10+'Станд.норм.распр.'!K43*$B$12+$C$1</f>
        <v>842.67686287872493</v>
      </c>
    </row>
    <row r="51" spans="3:17" x14ac:dyDescent="0.35">
      <c r="C51" s="4" t="s">
        <v>50</v>
      </c>
      <c r="D51" s="4" t="s">
        <v>5</v>
      </c>
      <c r="E51" s="4">
        <v>526</v>
      </c>
      <c r="F51" s="4"/>
      <c r="G51" s="4" t="s">
        <v>5</v>
      </c>
      <c r="H51" s="2">
        <f>$E51*$B$11+$B$10+'Станд.норм.распр.'!B44*$B$12+$C$1</f>
        <v>627.86076204550045</v>
      </c>
      <c r="I51" s="2">
        <f>$E51*$B$11+$B$10+'Станд.норм.распр.'!C44*$B$12+$C$1</f>
        <v>627.29202999737754</v>
      </c>
      <c r="J51" s="2">
        <f>$E51*$B$11+$B$10+'Станд.норм.распр.'!D44*$B$12+$C$1</f>
        <v>627.64771859595203</v>
      </c>
      <c r="K51" s="2">
        <f>$E51*$B$11+$B$10+'Станд.норм.распр.'!E44*$B$12+$C$1</f>
        <v>626.97972429607762</v>
      </c>
      <c r="L51" s="2">
        <f>$E51*$B$11+$B$10+'Станд.норм.распр.'!F44*$B$12+$C$1</f>
        <v>630.60777152713854</v>
      </c>
      <c r="M51" s="2">
        <f>$E51*$B$11+$B$10+'Станд.норм.распр.'!G44*$B$12+$C$1</f>
        <v>627.86466718837619</v>
      </c>
      <c r="N51" s="2">
        <f>$E51*$B$11+$B$10+'Станд.норм.распр.'!H44*$B$12+$C$1</f>
        <v>627.20820755505702</v>
      </c>
      <c r="O51" s="2">
        <f>$E51*$B$11+$B$10+'Станд.норм.распр.'!I44*$B$12+$C$1</f>
        <v>635.57809175411239</v>
      </c>
      <c r="P51" s="2">
        <f>$E51*$B$11+$B$10+'Станд.норм.распр.'!J44*$B$12+$C$1</f>
        <v>630.96555764786899</v>
      </c>
      <c r="Q51" s="2">
        <f>$E51*$B$11+$B$10+'Станд.норм.распр.'!K44*$B$12+$C$1</f>
        <v>627.06129914961639</v>
      </c>
    </row>
    <row r="52" spans="3:17" x14ac:dyDescent="0.35">
      <c r="C52" s="4" t="s">
        <v>51</v>
      </c>
      <c r="D52" s="4" t="s">
        <v>5</v>
      </c>
      <c r="E52" s="4">
        <v>270</v>
      </c>
      <c r="F52" s="4"/>
      <c r="G52" s="4" t="s">
        <v>5</v>
      </c>
      <c r="H52" s="2">
        <f>$E52*$B$11+$B$10+'Станд.норм.распр.'!B45*$B$12+$C$1</f>
        <v>373.00327042673598</v>
      </c>
      <c r="I52" s="2">
        <f>$E52*$B$11+$B$10+'Станд.норм.распр.'!C45*$B$12+$C$1</f>
        <v>370.00245632286533</v>
      </c>
      <c r="J52" s="2">
        <f>$E52*$B$11+$B$10+'Станд.норм.распр.'!D45*$B$12+$C$1</f>
        <v>369.19188508606749</v>
      </c>
      <c r="K52" s="2">
        <f>$E52*$B$11+$B$10+'Станд.норм.распр.'!E45*$B$12+$C$1</f>
        <v>372.50881112656498</v>
      </c>
      <c r="L52" s="2">
        <f>$E52*$B$11+$B$10+'Станд.норм.распр.'!F45*$B$12+$C$1</f>
        <v>371.30287913230131</v>
      </c>
      <c r="M52" s="2">
        <f>$E52*$B$11+$B$10+'Станд.норм.распр.'!G45*$B$12+$C$1</f>
        <v>375.84084614779567</v>
      </c>
      <c r="N52" s="2">
        <f>$E52*$B$11+$B$10+'Станд.норм.распр.'!H45*$B$12+$C$1</f>
        <v>373.17760691864532</v>
      </c>
      <c r="O52" s="2">
        <f>$E52*$B$11+$B$10+'Станд.норм.распр.'!I45*$B$12+$C$1</f>
        <v>369.1911756802001</v>
      </c>
      <c r="P52" s="2">
        <f>$E52*$B$11+$B$10+'Станд.норм.распр.'!J45*$B$12+$C$1</f>
        <v>370.90671006141929</v>
      </c>
      <c r="Q52" s="2">
        <f>$E52*$B$11+$B$10+'Станд.норм.распр.'!K45*$B$12+$C$1</f>
        <v>370.84590579313226</v>
      </c>
    </row>
    <row r="53" spans="3:17" x14ac:dyDescent="0.35">
      <c r="C53" s="4" t="s">
        <v>52</v>
      </c>
      <c r="D53" s="4" t="s">
        <v>5</v>
      </c>
      <c r="E53" s="4">
        <v>728</v>
      </c>
      <c r="F53" s="4"/>
      <c r="G53" s="4" t="s">
        <v>5</v>
      </c>
      <c r="H53" s="2">
        <f>$E53*$B$11+$B$10+'Станд.норм.распр.'!B46*$B$12+$C$1</f>
        <v>828.83254986343672</v>
      </c>
      <c r="I53" s="2">
        <f>$E53*$B$11+$B$10+'Станд.норм.распр.'!C46*$B$12+$C$1</f>
        <v>830.5813717507408</v>
      </c>
      <c r="J53" s="2">
        <f>$E53*$B$11+$B$10+'Станд.норм.распр.'!D46*$B$12+$C$1</f>
        <v>826.40824398738914</v>
      </c>
      <c r="K53" s="2">
        <f>$E53*$B$11+$B$10+'Станд.норм.распр.'!E46*$B$12+$C$1</f>
        <v>829.00885427450703</v>
      </c>
      <c r="L53" s="2">
        <f>$E53*$B$11+$B$10+'Станд.норм.распр.'!F46*$B$12+$C$1</f>
        <v>833.35235199599992</v>
      </c>
      <c r="M53" s="2">
        <f>$E53*$B$11+$B$10+'Станд.норм.распр.'!G46*$B$12+$C$1</f>
        <v>832.20371816794795</v>
      </c>
      <c r="N53" s="2">
        <f>$E53*$B$11+$B$10+'Станд.норм.распр.'!H46*$B$12+$C$1</f>
        <v>830.35112520890834</v>
      </c>
      <c r="O53" s="2">
        <f>$E53*$B$11+$B$10+'Станд.норм.распр.'!I46*$B$12+$C$1</f>
        <v>831.33647290567751</v>
      </c>
      <c r="P53" s="2">
        <f>$E53*$B$11+$B$10+'Станд.норм.распр.'!J46*$B$12+$C$1</f>
        <v>826.88124034946668</v>
      </c>
      <c r="Q53" s="2">
        <f>$E53*$B$11+$B$10+'Станд.норм.распр.'!K46*$B$12+$C$1</f>
        <v>830.81034272625402</v>
      </c>
    </row>
    <row r="54" spans="3:17" x14ac:dyDescent="0.35">
      <c r="C54" s="4" t="s">
        <v>53</v>
      </c>
      <c r="D54" s="4" t="s">
        <v>5</v>
      </c>
      <c r="E54" s="4">
        <v>643</v>
      </c>
      <c r="F54" s="4"/>
      <c r="G54" s="4" t="s">
        <v>5</v>
      </c>
      <c r="H54" s="2">
        <f>$E54*$B$11+$B$10+'Станд.норм.распр.'!B47*$B$12+$C$1</f>
        <v>741.57467469660332</v>
      </c>
      <c r="I54" s="2">
        <f>$E54*$B$11+$B$10+'Станд.норм.распр.'!C47*$B$12+$C$1</f>
        <v>743.44884996491601</v>
      </c>
      <c r="J54" s="2">
        <f>$E54*$B$11+$B$10+'Станд.норм.распр.'!D47*$B$12+$C$1</f>
        <v>747.59969283433747</v>
      </c>
      <c r="K54" s="2">
        <f>$E54*$B$11+$B$10+'Станд.норм.распр.'!E47*$B$12+$C$1</f>
        <v>742.89136609251727</v>
      </c>
      <c r="L54" s="2">
        <f>$E54*$B$11+$B$10+'Станд.норм.распр.'!F47*$B$12+$C$1</f>
        <v>747.52335667028092</v>
      </c>
      <c r="M54" s="2">
        <f>$E54*$B$11+$B$10+'Станд.норм.распр.'!G47*$B$12+$C$1</f>
        <v>745.5601100383501</v>
      </c>
      <c r="N54" s="2">
        <f>$E54*$B$11+$B$10+'Станд.норм.распр.'!H47*$B$12+$C$1</f>
        <v>745.52162135943945</v>
      </c>
      <c r="O54" s="2">
        <f>$E54*$B$11+$B$10+'Станд.норм.распр.'!I47*$B$12+$C$1</f>
        <v>742.41763986094156</v>
      </c>
      <c r="P54" s="2">
        <f>$E54*$B$11+$B$10+'Станд.норм.распр.'!J47*$B$12+$C$1</f>
        <v>744.4571646766417</v>
      </c>
      <c r="Q54" s="2">
        <f>$E54*$B$11+$B$10+'Станд.норм.распр.'!K47*$B$12+$C$1</f>
        <v>742.493273440341</v>
      </c>
    </row>
    <row r="55" spans="3:17" x14ac:dyDescent="0.35">
      <c r="C55" s="4" t="s">
        <v>54</v>
      </c>
      <c r="D55" s="4" t="s">
        <v>5</v>
      </c>
      <c r="E55" s="4">
        <v>847</v>
      </c>
      <c r="F55" s="4"/>
      <c r="G55" s="4" t="s">
        <v>5</v>
      </c>
      <c r="H55" s="2">
        <f>$E55*$B$11+$B$10+'Станд.норм.распр.'!B48*$B$12+$C$1</f>
        <v>946.59498450657702</v>
      </c>
      <c r="I55" s="2">
        <f>$E55*$B$11+$B$10+'Станд.норм.распр.'!C48*$B$12+$C$1</f>
        <v>950.38326981868886</v>
      </c>
      <c r="J55" s="2">
        <f>$E55*$B$11+$B$10+'Станд.норм.распр.'!D48*$B$12+$C$1</f>
        <v>946.49229800727335</v>
      </c>
      <c r="K55" s="2">
        <f>$E55*$B$11+$B$10+'Станд.норм.распр.'!E48*$B$12+$C$1</f>
        <v>951.61106720245152</v>
      </c>
      <c r="L55" s="2">
        <f>$E55*$B$11+$B$10+'Станд.норм.распр.'!F48*$B$12+$C$1</f>
        <v>950.10310566014959</v>
      </c>
      <c r="M55" s="2">
        <f>$E55*$B$11+$B$10+'Станд.норм.распр.'!G48*$B$12+$C$1</f>
        <v>944.88679656881141</v>
      </c>
      <c r="N55" s="2">
        <f>$E55*$B$11+$B$10+'Станд.норм.распр.'!H48*$B$12+$C$1</f>
        <v>951.51356823355309</v>
      </c>
      <c r="O55" s="2">
        <f>$E55*$B$11+$B$10+'Станд.норм.распр.'!I48*$B$12+$C$1</f>
        <v>950.49242623592727</v>
      </c>
      <c r="P55" s="2">
        <f>$E55*$B$11+$B$10+'Станд.норм.распр.'!J48*$B$12+$C$1</f>
        <v>951.07731090995367</v>
      </c>
      <c r="Q55" s="2">
        <f>$E55*$B$11+$B$10+'Станд.норм.распр.'!K48*$B$12+$C$1</f>
        <v>945.93973904868471</v>
      </c>
    </row>
    <row r="56" spans="3:17" x14ac:dyDescent="0.35">
      <c r="C56" s="4" t="s">
        <v>55</v>
      </c>
      <c r="D56" s="4" t="s">
        <v>5</v>
      </c>
      <c r="E56" s="4">
        <v>980</v>
      </c>
      <c r="F56" s="4"/>
      <c r="G56" s="4" t="s">
        <v>5</v>
      </c>
      <c r="H56" s="2">
        <f>$E56*$B$11+$B$10+'Станд.норм.распр.'!B49*$B$12+$C$1</f>
        <v>1082.4736887149193</v>
      </c>
      <c r="I56" s="2">
        <f>$E56*$B$11+$B$10+'Станд.норм.распр.'!C49*$B$12+$C$1</f>
        <v>1081.6807434854418</v>
      </c>
      <c r="J56" s="2">
        <f>$E56*$B$11+$B$10+'Станд.норм.распр.'!D49*$B$12+$C$1</f>
        <v>1077.7441514197853</v>
      </c>
      <c r="K56" s="2">
        <f>$E56*$B$11+$B$10+'Станд.норм.распр.'!E49*$B$12+$C$1</f>
        <v>1075.4836705506314</v>
      </c>
      <c r="L56" s="2">
        <f>$E56*$B$11+$B$10+'Станд.норм.распр.'!F49*$B$12+$C$1</f>
        <v>1087.8801560953725</v>
      </c>
      <c r="M56" s="2">
        <f>$E56*$B$11+$B$10+'Станд.норм.распр.'!G49*$B$12+$C$1</f>
        <v>1084.3112443159334</v>
      </c>
      <c r="N56" s="2">
        <f>$E56*$B$11+$B$10+'Станд.норм.распр.'!H49*$B$12+$C$1</f>
        <v>1081.9149599716475</v>
      </c>
      <c r="O56" s="2">
        <f>$E56*$B$11+$B$10+'Станд.норм.распр.'!I49*$B$12+$C$1</f>
        <v>1079.3040939948987</v>
      </c>
      <c r="P56" s="2">
        <f>$E56*$B$11+$B$10+'Станд.норм.распр.'!J49*$B$12+$C$1</f>
        <v>1081.2941548043746</v>
      </c>
      <c r="Q56" s="2">
        <f>$E56*$B$11+$B$10+'Станд.норм.распр.'!K49*$B$12+$C$1</f>
        <v>1078.0694140099804</v>
      </c>
    </row>
    <row r="57" spans="3:17" x14ac:dyDescent="0.35">
      <c r="C57" s="4" t="s">
        <v>56</v>
      </c>
      <c r="D57" s="4" t="s">
        <v>5</v>
      </c>
      <c r="E57" s="4">
        <v>337</v>
      </c>
      <c r="F57" s="4"/>
      <c r="G57" s="4" t="s">
        <v>5</v>
      </c>
      <c r="H57" s="2">
        <f>$E57*$B$11+$B$10+'Станд.норм.распр.'!B50*$B$12+$C$1</f>
        <v>439.79797246144153</v>
      </c>
      <c r="I57" s="2">
        <f>$E57*$B$11+$B$10+'Станд.норм.распр.'!C50*$B$12+$C$1</f>
        <v>436.64402900837013</v>
      </c>
      <c r="J57" s="2">
        <f>$E57*$B$11+$B$10+'Станд.норм.распр.'!D50*$B$12+$C$1</f>
        <v>437.99138856562786</v>
      </c>
      <c r="K57" s="2">
        <f>$E57*$B$11+$B$10+'Станд.норм.распр.'!E50*$B$12+$C$1</f>
        <v>442.0142791729304</v>
      </c>
      <c r="L57" s="2">
        <f>$E57*$B$11+$B$10+'Станд.норм.распр.'!F50*$B$12+$C$1</f>
        <v>439.42981810111087</v>
      </c>
      <c r="M57" s="2">
        <f>$E57*$B$11+$B$10+'Станд.норм.распр.'!G50*$B$12+$C$1</f>
        <v>438.89314574122545</v>
      </c>
      <c r="N57" s="2">
        <f>$E57*$B$11+$B$10+'Станд.норм.распр.'!H50*$B$12+$C$1</f>
        <v>444.5457803682657</v>
      </c>
      <c r="O57" s="2">
        <f>$E57*$B$11+$B$10+'Станд.норм.распр.'!I50*$B$12+$C$1</f>
        <v>440.91521849046694</v>
      </c>
      <c r="P57" s="2">
        <f>$E57*$B$11+$B$10+'Станд.норм.распр.'!J50*$B$12+$C$1</f>
        <v>440.34053152578417</v>
      </c>
      <c r="Q57" s="2">
        <f>$E57*$B$11+$B$10+'Станд.норм.распр.'!K50*$B$12+$C$1</f>
        <v>437.80054815548647</v>
      </c>
    </row>
    <row r="58" spans="3:17" x14ac:dyDescent="0.35">
      <c r="C58" s="4" t="s">
        <v>57</v>
      </c>
      <c r="D58" s="4" t="s">
        <v>5</v>
      </c>
      <c r="E58" s="4">
        <v>972</v>
      </c>
      <c r="F58" s="4"/>
      <c r="G58" s="4" t="s">
        <v>5</v>
      </c>
      <c r="H58" s="2">
        <f>$E58*$B$11+$B$10+'Станд.норм.распр.'!B51*$B$12+$C$1</f>
        <v>1079.0876542445621</v>
      </c>
      <c r="I58" s="2">
        <f>$E58*$B$11+$B$10+'Станд.норм.распр.'!C51*$B$12+$C$1</f>
        <v>1075.6014735138015</v>
      </c>
      <c r="J58" s="2">
        <f>$E58*$B$11+$B$10+'Станд.норм.распр.'!D51*$B$12+$C$1</f>
        <v>1078.5501565182349</v>
      </c>
      <c r="K58" s="2">
        <f>$E58*$B$11+$B$10+'Станд.норм.распр.'!E51*$B$12+$C$1</f>
        <v>1073.9719689488411</v>
      </c>
      <c r="L58" s="2">
        <f>$E58*$B$11+$B$10+'Станд.норм.распр.'!F51*$B$12+$C$1</f>
        <v>1069.9861543175066</v>
      </c>
      <c r="M58" s="2">
        <f>$E58*$B$11+$B$10+'Станд.норм.распр.'!G51*$B$12+$C$1</f>
        <v>1069.839893927041</v>
      </c>
      <c r="N58" s="2">
        <f>$E58*$B$11+$B$10+'Станд.норм.распр.'!H51*$B$12+$C$1</f>
        <v>1072.6348268521397</v>
      </c>
      <c r="O58" s="2">
        <f>$E58*$B$11+$B$10+'Станд.норм.распр.'!I51*$B$12+$C$1</f>
        <v>1074.2247725205962</v>
      </c>
      <c r="P58" s="2">
        <f>$E58*$B$11+$B$10+'Станд.норм.распр.'!J51*$B$12+$C$1</f>
        <v>1072.8900151492999</v>
      </c>
      <c r="Q58" s="2">
        <f>$E58*$B$11+$B$10+'Станд.норм.распр.'!K51*$B$12+$C$1</f>
        <v>1073.8299676917668</v>
      </c>
    </row>
    <row r="59" spans="3:17" x14ac:dyDescent="0.35">
      <c r="C59" s="4" t="s">
        <v>58</v>
      </c>
      <c r="D59" s="4" t="s">
        <v>5</v>
      </c>
      <c r="E59" s="4">
        <v>174</v>
      </c>
      <c r="F59" s="4"/>
      <c r="G59" s="4" t="s">
        <v>5</v>
      </c>
      <c r="H59" s="2">
        <f>$E59*$B$11+$B$10+'Станд.норм.распр.'!B52*$B$12+$C$1</f>
        <v>277.39783651320613</v>
      </c>
      <c r="I59" s="2">
        <f>$E59*$B$11+$B$10+'Станд.норм.распр.'!C52*$B$12+$C$1</f>
        <v>274.24746055310243</v>
      </c>
      <c r="J59" s="2">
        <f>$E59*$B$11+$B$10+'Станд.норм.распр.'!D52*$B$12+$C$1</f>
        <v>278.86191379927914</v>
      </c>
      <c r="K59" s="2">
        <f>$E59*$B$11+$B$10+'Станд.норм.распр.'!E52*$B$12+$C$1</f>
        <v>272.8804559102864</v>
      </c>
      <c r="L59" s="2">
        <f>$E59*$B$11+$B$10+'Станд.норм.распр.'!F52*$B$12+$C$1</f>
        <v>272.53115537512349</v>
      </c>
      <c r="M59" s="2">
        <f>$E59*$B$11+$B$10+'Станд.норм.распр.'!G52*$B$12+$C$1</f>
        <v>275.1875154137233</v>
      </c>
      <c r="N59" s="2">
        <f>$E59*$B$11+$B$10+'Станд.норм.распр.'!H52*$B$12+$C$1</f>
        <v>271.21920472034253</v>
      </c>
      <c r="O59" s="2">
        <f>$E59*$B$11+$B$10+'Станд.норм.распр.'!I52*$B$12+$C$1</f>
        <v>276.88007254817057</v>
      </c>
      <c r="P59" s="2">
        <f>$E59*$B$11+$B$10+'Станд.норм.распр.'!J52*$B$12+$C$1</f>
        <v>278.01102476846427</v>
      </c>
      <c r="Q59" s="2">
        <f>$E59*$B$11+$B$10+'Станд.норм.распр.'!K52*$B$12+$C$1</f>
        <v>277.00715851658606</v>
      </c>
    </row>
    <row r="60" spans="3:17" x14ac:dyDescent="0.35">
      <c r="C60" s="4" t="s">
        <v>59</v>
      </c>
      <c r="D60" s="4" t="s">
        <v>5</v>
      </c>
      <c r="E60" s="4">
        <v>227</v>
      </c>
      <c r="F60" s="4"/>
      <c r="G60" s="4" t="s">
        <v>5</v>
      </c>
      <c r="H60" s="2">
        <f>$E60*$B$11+$B$10+'Станд.норм.распр.'!B53*$B$12+$C$1</f>
        <v>324.53011548414361</v>
      </c>
      <c r="I60" s="2">
        <f>$E60*$B$11+$B$10+'Станд.норм.распр.'!C53*$B$12+$C$1</f>
        <v>334.26987605553586</v>
      </c>
      <c r="J60" s="2">
        <f>$E60*$B$11+$B$10+'Станд.норм.распр.'!D53*$B$12+$C$1</f>
        <v>325.62959226043313</v>
      </c>
      <c r="K60" s="2">
        <f>$E60*$B$11+$B$10+'Станд.норм.распр.'!E53*$B$12+$C$1</f>
        <v>330.64958009918337</v>
      </c>
      <c r="L60" s="2">
        <f>$E60*$B$11+$B$10+'Станд.норм.распр.'!F53*$B$12+$C$1</f>
        <v>326.53532620161423</v>
      </c>
      <c r="M60" s="2">
        <f>$E60*$B$11+$B$10+'Станд.норм.распр.'!G53*$B$12+$C$1</f>
        <v>333.00654698751168</v>
      </c>
      <c r="N60" s="2">
        <f>$E60*$B$11+$B$10+'Станд.норм.распр.'!H53*$B$12+$C$1</f>
        <v>328.31112938611477</v>
      </c>
      <c r="O60" s="2">
        <f>$E60*$B$11+$B$10+'Станд.норм.распр.'!I53*$B$12+$C$1</f>
        <v>322.80945155280642</v>
      </c>
      <c r="P60" s="2">
        <f>$E60*$B$11+$B$10+'Станд.норм.распр.'!J53*$B$12+$C$1</f>
        <v>328.74644879330299</v>
      </c>
      <c r="Q60" s="2">
        <f>$E60*$B$11+$B$10+'Станд.норм.распр.'!K53*$B$12+$C$1</f>
        <v>328.40950146992691</v>
      </c>
    </row>
    <row r="61" spans="3:17" x14ac:dyDescent="0.35">
      <c r="C61" s="4" t="s">
        <v>60</v>
      </c>
      <c r="D61" s="4" t="s">
        <v>5</v>
      </c>
      <c r="E61" s="4">
        <v>271</v>
      </c>
      <c r="F61" s="4"/>
      <c r="G61" s="4" t="s">
        <v>5</v>
      </c>
      <c r="H61" s="2">
        <f>$E61*$B$11+$B$10+'Станд.норм.распр.'!B54*$B$12+$C$1</f>
        <v>368.28189164266223</v>
      </c>
      <c r="I61" s="2">
        <f>$E61*$B$11+$B$10+'Станд.норм.распр.'!C54*$B$12+$C$1</f>
        <v>373.91198558038741</v>
      </c>
      <c r="J61" s="2">
        <f>$E61*$B$11+$B$10+'Станд.норм.распр.'!D54*$B$12+$C$1</f>
        <v>372.71395936881891</v>
      </c>
      <c r="K61" s="2">
        <f>$E61*$B$11+$B$10+'Станд.норм.распр.'!E54*$B$12+$C$1</f>
        <v>376.69882855011383</v>
      </c>
      <c r="L61" s="2">
        <f>$E61*$B$11+$B$10+'Станд.норм.распр.'!F54*$B$12+$C$1</f>
        <v>374.27039243125182</v>
      </c>
      <c r="M61" s="2">
        <f>$E61*$B$11+$B$10+'Станд.норм.распр.'!G54*$B$12+$C$1</f>
        <v>371.11814745953598</v>
      </c>
      <c r="N61" s="2">
        <f>$E61*$B$11+$B$10+'Станд.норм.распр.'!H54*$B$12+$C$1</f>
        <v>371.89394757701666</v>
      </c>
      <c r="O61" s="2">
        <f>$E61*$B$11+$B$10+'Станд.норм.распр.'!I54*$B$12+$C$1</f>
        <v>370.51112454760005</v>
      </c>
      <c r="P61" s="2">
        <f>$E61*$B$11+$B$10+'Станд.норм.распр.'!J54*$B$12+$C$1</f>
        <v>375.32578713621479</v>
      </c>
      <c r="Q61" s="2">
        <f>$E61*$B$11+$B$10+'Станд.норм.распр.'!K54*$B$12+$C$1</f>
        <v>371.41693796345498</v>
      </c>
    </row>
    <row r="62" spans="3:17" x14ac:dyDescent="0.35">
      <c r="C62" s="4" t="s">
        <v>61</v>
      </c>
      <c r="D62" s="4" t="s">
        <v>5</v>
      </c>
      <c r="E62" s="4">
        <v>323</v>
      </c>
      <c r="F62" s="4"/>
      <c r="G62" s="4" t="s">
        <v>5</v>
      </c>
      <c r="H62" s="2">
        <f>$E62*$B$11+$B$10+'Станд.норм.распр.'!B55*$B$12+$C$1</f>
        <v>425.73253659138572</v>
      </c>
      <c r="I62" s="2">
        <f>$E62*$B$11+$B$10+'Станд.норм.распр.'!C55*$B$12+$C$1</f>
        <v>422.91801656101597</v>
      </c>
      <c r="J62" s="2">
        <f>$E62*$B$11+$B$10+'Станд.норм.распр.'!D55*$B$12+$C$1</f>
        <v>426.63039203471271</v>
      </c>
      <c r="K62" s="2">
        <f>$E62*$B$11+$B$10+'Станд.норм.распр.'!E55*$B$12+$C$1</f>
        <v>425.86642330643372</v>
      </c>
      <c r="L62" s="2">
        <f>$E62*$B$11+$B$10+'Станд.норм.распр.'!F55*$B$12+$C$1</f>
        <v>429.39737505075755</v>
      </c>
      <c r="M62" s="2">
        <f>$E62*$B$11+$B$10+'Станд.норм.распр.'!G55*$B$12+$C$1</f>
        <v>422.96650854477775</v>
      </c>
      <c r="N62" s="2">
        <f>$E62*$B$11+$B$10+'Станд.норм.распр.'!H55*$B$12+$C$1</f>
        <v>419.98155375476927</v>
      </c>
      <c r="O62" s="2">
        <f>$E62*$B$11+$B$10+'Станд.норм.распр.'!I55*$B$12+$C$1</f>
        <v>427.83310782833723</v>
      </c>
      <c r="P62" s="2">
        <f>$E62*$B$11+$B$10+'Станд.норм.распр.'!J55*$B$12+$C$1</f>
        <v>424.71603301673895</v>
      </c>
      <c r="Q62" s="2">
        <f>$E62*$B$11+$B$10+'Станд.норм.распр.'!K55*$B$12+$C$1</f>
        <v>423.31990180609864</v>
      </c>
    </row>
    <row r="63" spans="3:17" x14ac:dyDescent="0.35">
      <c r="C63" s="4" t="s">
        <v>62</v>
      </c>
      <c r="D63" s="4" t="s">
        <v>5</v>
      </c>
      <c r="E63" s="4">
        <v>383</v>
      </c>
      <c r="F63" s="4"/>
      <c r="G63" s="4" t="s">
        <v>5</v>
      </c>
      <c r="H63" s="2">
        <f>$E63*$B$11+$B$10+'Станд.норм.распр.'!B56*$B$12+$C$1</f>
        <v>479.31533979077358</v>
      </c>
      <c r="I63" s="2">
        <f>$E63*$B$11+$B$10+'Станд.норм.распр.'!C56*$B$12+$C$1</f>
        <v>489.86005774291698</v>
      </c>
      <c r="J63" s="2">
        <f>$E63*$B$11+$B$10+'Станд.норм.распр.'!D56*$B$12+$C$1</f>
        <v>489.65742687083548</v>
      </c>
      <c r="K63" s="2">
        <f>$E63*$B$11+$B$10+'Станд.норм.распр.'!E56*$B$12+$C$1</f>
        <v>485.59260287343932</v>
      </c>
      <c r="L63" s="2">
        <f>$E63*$B$11+$B$10+'Станд.норм.распр.'!F56*$B$12+$C$1</f>
        <v>484.70888779898814</v>
      </c>
      <c r="M63" s="2">
        <f>$E63*$B$11+$B$10+'Станд.норм.распр.'!G56*$B$12+$C$1</f>
        <v>483.86096361478849</v>
      </c>
      <c r="N63" s="2">
        <f>$E63*$B$11+$B$10+'Станд.норм.распр.'!H56*$B$12+$C$1</f>
        <v>482.57849082016037</v>
      </c>
      <c r="O63" s="2">
        <f>$E63*$B$11+$B$10+'Станд.норм.распр.'!I56*$B$12+$C$1</f>
        <v>487.91003061647643</v>
      </c>
      <c r="P63" s="2">
        <f>$E63*$B$11+$B$10+'Станд.норм.распр.'!J56*$B$12+$C$1</f>
        <v>484.72963451000396</v>
      </c>
      <c r="Q63" s="2">
        <f>$E63*$B$11+$B$10+'Станд.норм.распр.'!K56*$B$12+$C$1</f>
        <v>481.28886598657118</v>
      </c>
    </row>
    <row r="64" spans="3:17" x14ac:dyDescent="0.35">
      <c r="C64" s="4" t="s">
        <v>63</v>
      </c>
      <c r="D64" s="4" t="s">
        <v>5</v>
      </c>
      <c r="E64" s="4">
        <v>294</v>
      </c>
      <c r="F64" s="4"/>
      <c r="G64" s="4" t="s">
        <v>5</v>
      </c>
      <c r="H64" s="2">
        <f>$E64*$B$11+$B$10+'Станд.норм.распр.'!B57*$B$12+$C$1</f>
        <v>395.01273213254171</v>
      </c>
      <c r="I64" s="2">
        <f>$E64*$B$11+$B$10+'Станд.норм.распр.'!C57*$B$12+$C$1</f>
        <v>395.73977082845522</v>
      </c>
      <c r="J64" s="2">
        <f>$E64*$B$11+$B$10+'Станд.норм.распр.'!D57*$B$12+$C$1</f>
        <v>398.42405349126784</v>
      </c>
      <c r="K64" s="2">
        <f>$E64*$B$11+$B$10+'Станд.норм.распр.'!E57*$B$12+$C$1</f>
        <v>401.45582224731334</v>
      </c>
      <c r="L64" s="2">
        <f>$E64*$B$11+$B$10+'Станд.норм.распр.'!F57*$B$12+$C$1</f>
        <v>397.12917632577592</v>
      </c>
      <c r="M64" s="2">
        <f>$E64*$B$11+$B$10+'Станд.норм.распр.'!G57*$B$12+$C$1</f>
        <v>398.00958993445965</v>
      </c>
      <c r="N64" s="2">
        <f>$E64*$B$11+$B$10+'Станд.норм.распр.'!H57*$B$12+$C$1</f>
        <v>395.86991476058029</v>
      </c>
      <c r="O64" s="2">
        <f>$E64*$B$11+$B$10+'Станд.норм.распр.'!I57*$B$12+$C$1</f>
        <v>395.70612179822638</v>
      </c>
      <c r="P64" s="2">
        <f>$E64*$B$11+$B$10+'Станд.норм.распр.'!J57*$B$12+$C$1</f>
        <v>394.25000930589158</v>
      </c>
      <c r="Q64" s="2">
        <f>$E64*$B$11+$B$10+'Станд.норм.распр.'!K57*$B$12+$C$1</f>
        <v>399.10108589474112</v>
      </c>
    </row>
    <row r="65" spans="3:17" x14ac:dyDescent="0.35">
      <c r="C65" s="4" t="s">
        <v>64</v>
      </c>
      <c r="D65" s="4" t="s">
        <v>5</v>
      </c>
      <c r="E65" s="4">
        <v>331</v>
      </c>
      <c r="F65" s="4"/>
      <c r="G65" s="4" t="s">
        <v>5</v>
      </c>
      <c r="H65" s="2">
        <f>$E65*$B$11+$B$10+'Станд.норм.распр.'!B58*$B$12+$C$1</f>
        <v>433.54190422815736</v>
      </c>
      <c r="I65" s="2">
        <f>$E65*$B$11+$B$10+'Станд.норм.распр.'!C58*$B$12+$C$1</f>
        <v>432.61256889946526</v>
      </c>
      <c r="J65" s="2">
        <f>$E65*$B$11+$B$10+'Станд.норм.распр.'!D58*$B$12+$C$1</f>
        <v>434.89304273590096</v>
      </c>
      <c r="K65" s="2">
        <f>$E65*$B$11+$B$10+'Станд.норм.распр.'!E58*$B$12+$C$1</f>
        <v>432.4597294517007</v>
      </c>
      <c r="L65" s="2">
        <f>$E65*$B$11+$B$10+'Станд.норм.распр.'!F58*$B$12+$C$1</f>
        <v>437.95181666337885</v>
      </c>
      <c r="M65" s="2">
        <f>$E65*$B$11+$B$10+'Станд.норм.распр.'!G58*$B$12+$C$1</f>
        <v>431.72684497859154</v>
      </c>
      <c r="N65" s="2">
        <f>$E65*$B$11+$B$10+'Станд.норм.распр.'!H58*$B$12+$C$1</f>
        <v>430.21457243140321</v>
      </c>
      <c r="O65" s="2">
        <f>$E65*$B$11+$B$10+'Станд.норм.распр.'!I58*$B$12+$C$1</f>
        <v>431.36162032806897</v>
      </c>
      <c r="P65" s="2">
        <f>$E65*$B$11+$B$10+'Станд.норм.распр.'!J58*$B$12+$C$1</f>
        <v>435.29122406381066</v>
      </c>
      <c r="Q65" s="2">
        <f>$E65*$B$11+$B$10+'Станд.норм.распр.'!K58*$B$12+$C$1</f>
        <v>432.76993422023952</v>
      </c>
    </row>
    <row r="66" spans="3:17" x14ac:dyDescent="0.35">
      <c r="C66" s="4" t="s">
        <v>65</v>
      </c>
      <c r="D66" s="4" t="s">
        <v>5</v>
      </c>
      <c r="E66" s="4">
        <v>908</v>
      </c>
      <c r="F66" s="4"/>
      <c r="G66" s="4" t="s">
        <v>5</v>
      </c>
      <c r="H66" s="2">
        <f>$E66*$B$11+$B$10+'Станд.норм.распр.'!B59*$B$12+$C$1</f>
        <v>1008.8604690770444</v>
      </c>
      <c r="I66" s="2">
        <f>$E66*$B$11+$B$10+'Станд.норм.распр.'!C59*$B$12+$C$1</f>
        <v>1006.428837221174</v>
      </c>
      <c r="J66" s="2">
        <f>$E66*$B$11+$B$10+'Станд.норм.распр.'!D59*$B$12+$C$1</f>
        <v>1009.7146517216606</v>
      </c>
      <c r="K66" s="2">
        <f>$E66*$B$11+$B$10+'Станд.норм.распр.'!E59*$B$12+$C$1</f>
        <v>1008.0754876105493</v>
      </c>
      <c r="L66" s="2">
        <f>$E66*$B$11+$B$10+'Станд.норм.распр.'!F59*$B$12+$C$1</f>
        <v>1008.6620059644338</v>
      </c>
      <c r="M66" s="2">
        <f>$E66*$B$11+$B$10+'Станд.норм.распр.'!G59*$B$12+$C$1</f>
        <v>1005.4065970086958</v>
      </c>
      <c r="N66" s="2">
        <f>$E66*$B$11+$B$10+'Станд.норм.распр.'!H59*$B$12+$C$1</f>
        <v>1017.2273178375326</v>
      </c>
      <c r="O66" s="2">
        <f>$E66*$B$11+$B$10+'Станд.норм.распр.'!I59*$B$12+$C$1</f>
        <v>1007.5243781591416</v>
      </c>
      <c r="P66" s="2">
        <f>$E66*$B$11+$B$10+'Станд.норм.распр.'!J59*$B$12+$C$1</f>
        <v>1011.9485401026031</v>
      </c>
      <c r="Q66" s="2">
        <f>$E66*$B$11+$B$10+'Станд.норм.распр.'!K59*$B$12+$C$1</f>
        <v>1007.7354127622675</v>
      </c>
    </row>
    <row r="67" spans="3:17" x14ac:dyDescent="0.35">
      <c r="C67" s="4" t="s">
        <v>66</v>
      </c>
      <c r="D67" s="4" t="s">
        <v>5</v>
      </c>
      <c r="E67" s="4">
        <v>152</v>
      </c>
      <c r="F67" s="4"/>
      <c r="G67" s="4" t="s">
        <v>5</v>
      </c>
      <c r="H67" s="2">
        <f>$E67*$B$11+$B$10+'Станд.норм.распр.'!B60*$B$12+$C$1</f>
        <v>251.23428572906414</v>
      </c>
      <c r="I67" s="2">
        <f>$E67*$B$11+$B$10+'Станд.норм.распр.'!C60*$B$12+$C$1</f>
        <v>249.53568159171846</v>
      </c>
      <c r="J67" s="2">
        <f>$E67*$B$11+$B$10+'Станд.норм.распр.'!D60*$B$12+$C$1</f>
        <v>258.36273694504052</v>
      </c>
      <c r="K67" s="2">
        <f>$E67*$B$11+$B$10+'Станд.норм.распр.'!E60*$B$12+$C$1</f>
        <v>252.55672740523005</v>
      </c>
      <c r="L67" s="2">
        <f>$E67*$B$11+$B$10+'Станд.норм.распр.'!F60*$B$12+$C$1</f>
        <v>251.71951252114377</v>
      </c>
      <c r="M67" s="2">
        <f>$E67*$B$11+$B$10+'Станд.норм.распр.'!G60*$B$12+$C$1</f>
        <v>253.71303850543336</v>
      </c>
      <c r="N67" s="2">
        <f>$E67*$B$11+$B$10+'Станд.норм.распр.'!H60*$B$12+$C$1</f>
        <v>252.06690073758364</v>
      </c>
      <c r="O67" s="2">
        <f>$E67*$B$11+$B$10+'Станд.норм.распр.'!I60*$B$12+$C$1</f>
        <v>250.39552243024809</v>
      </c>
      <c r="P67" s="2">
        <f>$E67*$B$11+$B$10+'Станд.норм.распр.'!J60*$B$12+$C$1</f>
        <v>250.1554976835032</v>
      </c>
      <c r="Q67" s="2">
        <f>$E67*$B$11+$B$10+'Станд.норм.распр.'!K60*$B$12+$C$1</f>
        <v>251.09254097979283</v>
      </c>
    </row>
    <row r="68" spans="3:17" x14ac:dyDescent="0.35">
      <c r="C68" s="4" t="s">
        <v>67</v>
      </c>
      <c r="D68" s="4" t="s">
        <v>5</v>
      </c>
      <c r="E68" s="4">
        <v>593</v>
      </c>
      <c r="F68" s="4"/>
      <c r="G68" s="4" t="s">
        <v>5</v>
      </c>
      <c r="H68" s="2">
        <f>$E68*$B$11+$B$10+'Станд.норм.распр.'!B61*$B$12+$C$1</f>
        <v>697.07702100851748</v>
      </c>
      <c r="I68" s="2">
        <f>$E68*$B$11+$B$10+'Станд.норм.распр.'!C61*$B$12+$C$1</f>
        <v>694.3522988006589</v>
      </c>
      <c r="J68" s="2">
        <f>$E68*$B$11+$B$10+'Станд.норм.распр.'!D61*$B$12+$C$1</f>
        <v>691.28294517606264</v>
      </c>
      <c r="K68" s="2">
        <f>$E68*$B$11+$B$10+'Станд.норм.распр.'!E61*$B$12+$C$1</f>
        <v>693.89198306846083</v>
      </c>
      <c r="L68" s="2">
        <f>$E68*$B$11+$B$10+'Станд.норм.распр.'!F61*$B$12+$C$1</f>
        <v>693.17784669176035</v>
      </c>
      <c r="M68" s="2">
        <f>$E68*$B$11+$B$10+'Станд.норм.распр.'!G61*$B$12+$C$1</f>
        <v>698.5772336559603</v>
      </c>
      <c r="N68" s="2">
        <f>$E68*$B$11+$B$10+'Станд.норм.распр.'!H61*$B$12+$C$1</f>
        <v>697.50607854468399</v>
      </c>
      <c r="O68" s="2">
        <f>$E68*$B$11+$B$10+'Станд.норм.распр.'!I61*$B$12+$C$1</f>
        <v>693.79905772104394</v>
      </c>
      <c r="P68" s="2">
        <f>$E68*$B$11+$B$10+'Станд.норм.распр.'!J61*$B$12+$C$1</f>
        <v>698.44211230185465</v>
      </c>
      <c r="Q68" s="2">
        <f>$E68*$B$11+$B$10+'Станд.норм.распр.'!K61*$B$12+$C$1</f>
        <v>693.05890627915505</v>
      </c>
    </row>
    <row r="69" spans="3:17" x14ac:dyDescent="0.35">
      <c r="C69" s="4" t="s">
        <v>68</v>
      </c>
      <c r="D69" s="4" t="s">
        <v>5</v>
      </c>
      <c r="E69" s="4">
        <v>392</v>
      </c>
      <c r="F69" s="4"/>
      <c r="G69" s="4" t="s">
        <v>5</v>
      </c>
      <c r="H69" s="2">
        <f>$E69*$B$11+$B$10+'Станд.норм.распр.'!B62*$B$12+$C$1</f>
        <v>495.41115151564009</v>
      </c>
      <c r="I69" s="2">
        <f>$E69*$B$11+$B$10+'Станд.норм.распр.'!C62*$B$12+$C$1</f>
        <v>489.46500021097017</v>
      </c>
      <c r="J69" s="2">
        <f>$E69*$B$11+$B$10+'Станд.норм.распр.'!D62*$B$12+$C$1</f>
        <v>496.78542756859679</v>
      </c>
      <c r="K69" s="2">
        <f>$E69*$B$11+$B$10+'Станд.норм.распр.'!E62*$B$12+$C$1</f>
        <v>494.37077370507177</v>
      </c>
      <c r="L69" s="2">
        <f>$E69*$B$11+$B$10+'Станд.норм.распр.'!F62*$B$12+$C$1</f>
        <v>496.50327058590483</v>
      </c>
      <c r="M69" s="2">
        <f>$E69*$B$11+$B$10+'Станд.норм.распр.'!G62*$B$12+$C$1</f>
        <v>491.25946281614597</v>
      </c>
      <c r="N69" s="2">
        <f>$E69*$B$11+$B$10+'Станд.норм.распр.'!H62*$B$12+$C$1</f>
        <v>500.24359017820098</v>
      </c>
      <c r="O69" s="2">
        <f>$E69*$B$11+$B$10+'Станд.норм.распр.'!I62*$B$12+$C$1</f>
        <v>494.56945168580569</v>
      </c>
      <c r="P69" s="2">
        <f>$E69*$B$11+$B$10+'Станд.норм.распр.'!J62*$B$12+$C$1</f>
        <v>495.54512008521124</v>
      </c>
      <c r="Q69" s="2">
        <f>$E69*$B$11+$B$10+'Станд.норм.распр.'!K62*$B$12+$C$1</f>
        <v>496.35878133025835</v>
      </c>
    </row>
    <row r="70" spans="3:17" x14ac:dyDescent="0.35">
      <c r="C70" s="4" t="s">
        <v>69</v>
      </c>
      <c r="D70" s="4" t="s">
        <v>5</v>
      </c>
      <c r="E70" s="4">
        <v>407</v>
      </c>
      <c r="F70" s="4"/>
      <c r="G70" s="4" t="s">
        <v>5</v>
      </c>
      <c r="H70" s="2">
        <f>$E70*$B$11+$B$10+'Станд.норм.распр.'!B63*$B$12+$C$1</f>
        <v>514.11492544319481</v>
      </c>
      <c r="I70" s="2">
        <f>$E70*$B$11+$B$10+'Станд.норм.распр.'!C63*$B$12+$C$1</f>
        <v>510.34966512632673</v>
      </c>
      <c r="J70" s="2">
        <f>$E70*$B$11+$B$10+'Станд.норм.распр.'!D63*$B$12+$C$1</f>
        <v>508.6345468389336</v>
      </c>
      <c r="K70" s="2">
        <f>$E70*$B$11+$B$10+'Станд.норм.распр.'!E63*$B$12+$C$1</f>
        <v>510.89136130757106</v>
      </c>
      <c r="L70" s="2">
        <f>$E70*$B$11+$B$10+'Станд.норм.распр.'!F63*$B$12+$C$1</f>
        <v>510.78695245267591</v>
      </c>
      <c r="M70" s="2">
        <f>$E70*$B$11+$B$10+'Станд.норм.распр.'!G63*$B$12+$C$1</f>
        <v>512.1333706829173</v>
      </c>
      <c r="N70" s="2">
        <f>$E70*$B$11+$B$10+'Станд.норм.распр.'!H63*$B$12+$C$1</f>
        <v>504.45418177149259</v>
      </c>
      <c r="O70" s="2">
        <f>$E70*$B$11+$B$10+'Станд.норм.распр.'!I63*$B$12+$C$1</f>
        <v>506.71000375403673</v>
      </c>
      <c r="P70" s="2">
        <f>$E70*$B$11+$B$10+'Станд.норм.распр.'!J63*$B$12+$C$1</f>
        <v>506.68936959299026</v>
      </c>
      <c r="Q70" s="2">
        <f>$E70*$B$11+$B$10+'Станд.норм.распр.'!K63*$B$12+$C$1</f>
        <v>508.31772549643938</v>
      </c>
    </row>
    <row r="71" spans="3:17" x14ac:dyDescent="0.35">
      <c r="C71" s="4" t="s">
        <v>70</v>
      </c>
      <c r="D71" s="4" t="s">
        <v>5</v>
      </c>
      <c r="E71" s="4">
        <v>211</v>
      </c>
      <c r="F71" s="4"/>
      <c r="G71" s="4" t="s">
        <v>5</v>
      </c>
      <c r="H71" s="2">
        <f>$E71*$B$11+$B$10+'Станд.норм.распр.'!B64*$B$12+$C$1</f>
        <v>312.31348611426074</v>
      </c>
      <c r="I71" s="2">
        <f>$E71*$B$11+$B$10+'Станд.норм.распр.'!C64*$B$12+$C$1</f>
        <v>315.33230139201623</v>
      </c>
      <c r="J71" s="2">
        <f>$E71*$B$11+$B$10+'Станд.норм.распр.'!D64*$B$12+$C$1</f>
        <v>309.09204678563401</v>
      </c>
      <c r="K71" s="2">
        <f>$E71*$B$11+$B$10+'Станд.норм.распр.'!E64*$B$12+$C$1</f>
        <v>310.87723936606199</v>
      </c>
      <c r="L71" s="2">
        <f>$E71*$B$11+$B$10+'Станд.норм.распр.'!F64*$B$12+$C$1</f>
        <v>311.78113158047199</v>
      </c>
      <c r="M71" s="2">
        <f>$E71*$B$11+$B$10+'Станд.норм.распр.'!G64*$B$12+$C$1</f>
        <v>316.97320491174469</v>
      </c>
      <c r="N71" s="2">
        <f>$E71*$B$11+$B$10+'Станд.норм.распр.'!H64*$B$12+$C$1</f>
        <v>314.31420847537811</v>
      </c>
      <c r="O71" s="2">
        <f>$E71*$B$11+$B$10+'Станд.норм.распр.'!I64*$B$12+$C$1</f>
        <v>312.72778937262774</v>
      </c>
      <c r="P71" s="2">
        <f>$E71*$B$11+$B$10+'Станд.норм.распр.'!J64*$B$12+$C$1</f>
        <v>316.75393028662074</v>
      </c>
      <c r="Q71" s="2">
        <f>$E71*$B$11+$B$10+'Станд.норм.распр.'!K64*$B$12+$C$1</f>
        <v>313.71151021074911</v>
      </c>
    </row>
    <row r="72" spans="3:17" x14ac:dyDescent="0.35">
      <c r="C72" s="4" t="s">
        <v>71</v>
      </c>
      <c r="D72" s="4" t="s">
        <v>5</v>
      </c>
      <c r="E72" s="4">
        <v>942</v>
      </c>
      <c r="F72" s="4"/>
      <c r="G72" s="4" t="s">
        <v>5</v>
      </c>
      <c r="H72" s="2">
        <f>$E72*$B$11+$B$10+'Станд.норм.распр.'!B65*$B$12+$C$1</f>
        <v>1043.3938195075316</v>
      </c>
      <c r="I72" s="2">
        <f>$E72*$B$11+$B$10+'Станд.норм.распр.'!C65*$B$12+$C$1</f>
        <v>1042.55672740523</v>
      </c>
      <c r="J72" s="2">
        <f>$E72*$B$11+$B$10+'Станд.норм.распр.'!D65*$B$12+$C$1</f>
        <v>1044.0719535364624</v>
      </c>
      <c r="K72" s="2">
        <f>$E72*$B$11+$B$10+'Станд.норм.распр.'!E65*$B$12+$C$1</f>
        <v>1048.9040545491152</v>
      </c>
      <c r="L72" s="2">
        <f>$E72*$B$11+$B$10+'Станд.норм.распр.'!F65*$B$12+$C$1</f>
        <v>1039.4235681798309</v>
      </c>
      <c r="M72" s="2">
        <f>$E72*$B$11+$B$10+'Станд.норм.распр.'!G65*$B$12+$C$1</f>
        <v>1046.1239407033136</v>
      </c>
      <c r="N72" s="2">
        <f>$E72*$B$11+$B$10+'Станд.норм.распр.'!H65*$B$12+$C$1</f>
        <v>1044.2263823262183</v>
      </c>
      <c r="O72" s="2">
        <f>$E72*$B$11+$B$10+'Станд.норм.распр.'!I65*$B$12+$C$1</f>
        <v>1039.8320768200792</v>
      </c>
      <c r="P72" s="2">
        <f>$E72*$B$11+$B$10+'Станд.норм.распр.'!J65*$B$12+$C$1</f>
        <v>1050.243590178201</v>
      </c>
      <c r="Q72" s="2">
        <f>$E72*$B$11+$B$10+'Станд.норм.распр.'!K65*$B$12+$C$1</f>
        <v>1045.6897706700547</v>
      </c>
    </row>
    <row r="73" spans="3:17" x14ac:dyDescent="0.35">
      <c r="C73" s="4" t="s">
        <v>72</v>
      </c>
      <c r="D73" s="4" t="s">
        <v>5</v>
      </c>
      <c r="E73" s="4">
        <v>785</v>
      </c>
      <c r="F73" s="4"/>
      <c r="G73" s="4" t="s">
        <v>5</v>
      </c>
      <c r="H73" s="2">
        <f>$E73*$B$11+$B$10+'Станд.норм.распр.'!B66*$B$12+$C$1</f>
        <v>883.95783571951324</v>
      </c>
      <c r="I73" s="2">
        <f>$E73*$B$11+$B$10+'Станд.норм.распр.'!C66*$B$12+$C$1</f>
        <v>888.35551090352237</v>
      </c>
      <c r="J73" s="2">
        <f>$E73*$B$11+$B$10+'Станд.норм.распр.'!D66*$B$12+$C$1</f>
        <v>891.24895915784873</v>
      </c>
      <c r="K73" s="2">
        <f>$E73*$B$11+$B$10+'Станд.норм.распр.'!E66*$B$12+$C$1</f>
        <v>886.42493786875275</v>
      </c>
      <c r="L73" s="2">
        <f>$E73*$B$11+$B$10+'Станд.норм.распр.'!F66*$B$12+$C$1</f>
        <v>888.45254499936709</v>
      </c>
      <c r="M73" s="2">
        <f>$E73*$B$11+$B$10+'Станд.норм.распр.'!G66*$B$12+$C$1</f>
        <v>889.19323293701746</v>
      </c>
      <c r="N73" s="2">
        <f>$E73*$B$11+$B$10+'Станд.норм.распр.'!H66*$B$12+$C$1</f>
        <v>888.62773176271003</v>
      </c>
      <c r="O73" s="2">
        <f>$E73*$B$11+$B$10+'Станд.норм.распр.'!I66*$B$12+$C$1</f>
        <v>881.07048562716227</v>
      </c>
      <c r="P73" s="2">
        <f>$E73*$B$11+$B$10+'Станд.норм.распр.'!J66*$B$12+$C$1</f>
        <v>885.92092205300287</v>
      </c>
      <c r="Q73" s="2">
        <f>$E73*$B$11+$B$10+'Станд.норм.распр.'!K66*$B$12+$C$1</f>
        <v>885.22809513716493</v>
      </c>
    </row>
    <row r="74" spans="3:17" x14ac:dyDescent="0.35">
      <c r="C74" s="4" t="s">
        <v>73</v>
      </c>
      <c r="D74" s="4" t="s">
        <v>5</v>
      </c>
      <c r="E74" s="4">
        <v>896</v>
      </c>
      <c r="F74" s="4"/>
      <c r="G74" s="4" t="s">
        <v>5</v>
      </c>
      <c r="H74" s="2">
        <f>$E74*$B$11+$B$10+'Станд.норм.распр.'!B67*$B$12+$C$1</f>
        <v>998.06070536073821</v>
      </c>
      <c r="I74" s="2">
        <f>$E74*$B$11+$B$10+'Станд.норм.распр.'!C67*$B$12+$C$1</f>
        <v>998.90453681877989</v>
      </c>
      <c r="J74" s="2">
        <f>$E74*$B$11+$B$10+'Станд.норм.распр.'!D67*$B$12+$C$1</f>
        <v>994.83517671655864</v>
      </c>
      <c r="K74" s="2">
        <f>$E74*$B$11+$B$10+'Станд.норм.распр.'!E67*$B$12+$C$1</f>
        <v>1001.747409209609</v>
      </c>
      <c r="L74" s="2">
        <f>$E74*$B$11+$B$10+'Станд.норм.распр.'!F67*$B$12+$C$1</f>
        <v>997.71580450619513</v>
      </c>
      <c r="M74" s="2">
        <f>$E74*$B$11+$B$10+'Станд.норм.распр.'!G67*$B$12+$C$1</f>
        <v>994.82635007047793</v>
      </c>
      <c r="N74" s="2">
        <f>$E74*$B$11+$B$10+'Станд.норм.распр.'!H67*$B$12+$C$1</f>
        <v>993.33104528381955</v>
      </c>
      <c r="O74" s="2">
        <f>$E74*$B$11+$B$10+'Станд.норм.распр.'!I67*$B$12+$C$1</f>
        <v>1000.9340003493417</v>
      </c>
      <c r="P74" s="2">
        <f>$E74*$B$11+$B$10+'Станд.норм.распр.'!J67*$B$12+$C$1</f>
        <v>1002.145754246565</v>
      </c>
      <c r="Q74" s="2">
        <f>$E74*$B$11+$B$10+'Станд.норм.распр.'!K67*$B$12+$C$1</f>
        <v>998.08595748113294</v>
      </c>
    </row>
    <row r="75" spans="3:17" x14ac:dyDescent="0.35">
      <c r="C75" s="4" t="s">
        <v>74</v>
      </c>
      <c r="D75" s="4" t="s">
        <v>5</v>
      </c>
      <c r="E75" s="4">
        <v>920</v>
      </c>
      <c r="F75" s="4"/>
      <c r="G75" s="4" t="s">
        <v>5</v>
      </c>
      <c r="H75" s="2">
        <f>$E75*$B$11+$B$10+'Станд.норм.распр.'!B68*$B$12+$C$1</f>
        <v>1023.5432851796504</v>
      </c>
      <c r="I75" s="2">
        <f>$E75*$B$11+$B$10+'Станд.норм.распр.'!C68*$B$12+$C$1</f>
        <v>1022.1215505562868</v>
      </c>
      <c r="J75" s="2">
        <f>$E75*$B$11+$B$10+'Станд.норм.распр.'!D68*$B$12+$C$1</f>
        <v>1020.8102376846655</v>
      </c>
      <c r="K75" s="2">
        <f>$E75*$B$11+$B$10+'Станд.норм.распр.'!E68*$B$12+$C$1</f>
        <v>1019.2941145642835</v>
      </c>
      <c r="L75" s="2">
        <f>$E75*$B$11+$B$10+'Станд.норм.распр.'!F68*$B$12+$C$1</f>
        <v>1020.2819144861423</v>
      </c>
      <c r="M75" s="2">
        <f>$E75*$B$11+$B$10+'Станд.норм.распр.'!G68*$B$12+$C$1</f>
        <v>1022.6643892902503</v>
      </c>
      <c r="N75" s="2">
        <f>$E75*$B$11+$B$10+'Станд.норм.распр.'!H68*$B$12+$C$1</f>
        <v>1021.0803200944356</v>
      </c>
      <c r="O75" s="2">
        <f>$E75*$B$11+$B$10+'Станд.норм.распр.'!I68*$B$12+$C$1</f>
        <v>1025.8951225178607</v>
      </c>
      <c r="P75" s="2">
        <f>$E75*$B$11+$B$10+'Станд.норм.распр.'!J68*$B$12+$C$1</f>
        <v>1025.1065701477928</v>
      </c>
      <c r="Q75" s="2">
        <f>$E75*$B$11+$B$10+'Станд.норм.распр.'!K68*$B$12+$C$1</f>
        <v>1021.5961331933358</v>
      </c>
    </row>
    <row r="76" spans="3:17" x14ac:dyDescent="0.35">
      <c r="C76" s="4" t="s">
        <v>75</v>
      </c>
      <c r="D76" s="4" t="s">
        <v>5</v>
      </c>
      <c r="E76" s="4">
        <v>147</v>
      </c>
      <c r="F76" s="4"/>
      <c r="G76" s="4" t="s">
        <v>5</v>
      </c>
      <c r="H76" s="2">
        <f>$E76*$B$11+$B$10+'Станд.норм.распр.'!B69*$B$12+$C$1</f>
        <v>245.48415723640937</v>
      </c>
      <c r="I76" s="2">
        <f>$E76*$B$11+$B$10+'Станд.норм.распр.'!C69*$B$12+$C$1</f>
        <v>251.01648617803585</v>
      </c>
      <c r="J76" s="2">
        <f>$E76*$B$11+$B$10+'Станд.норм.распр.'!D69*$B$12+$C$1</f>
        <v>252.35492359226919</v>
      </c>
      <c r="K76" s="2">
        <f>$E76*$B$11+$B$10+'Станд.норм.распр.'!E69*$B$12+$C$1</f>
        <v>249.43028194340877</v>
      </c>
      <c r="L76" s="2">
        <f>$E76*$B$11+$B$10+'Станд.норм.распр.'!F69*$B$12+$C$1</f>
        <v>249.98194050224265</v>
      </c>
      <c r="M76" s="2">
        <f>$E76*$B$11+$B$10+'Станд.норм.распр.'!G69*$B$12+$C$1</f>
        <v>250.75989271156141</v>
      </c>
      <c r="N76" s="2">
        <f>$E76*$B$11+$B$10+'Станд.норм.распр.'!H69*$B$12+$C$1</f>
        <v>250.56033820530865</v>
      </c>
      <c r="O76" s="2">
        <f>$E76*$B$11+$B$10+'Станд.норм.распр.'!I69*$B$12+$C$1</f>
        <v>248.64864628054784</v>
      </c>
      <c r="P76" s="2">
        <f>$E76*$B$11+$B$10+'Станд.норм.распр.'!J69*$B$12+$C$1</f>
        <v>250.57191379912547</v>
      </c>
      <c r="Q76" s="2">
        <f>$E76*$B$11+$B$10+'Станд.норм.распр.'!K69*$B$12+$C$1</f>
        <v>255.39327481621876</v>
      </c>
    </row>
    <row r="77" spans="3:17" x14ac:dyDescent="0.35">
      <c r="C77" s="4" t="s">
        <v>76</v>
      </c>
      <c r="D77" s="4" t="s">
        <v>5</v>
      </c>
      <c r="E77" s="4">
        <v>712</v>
      </c>
      <c r="F77" s="4"/>
      <c r="G77" s="4" t="s">
        <v>5</v>
      </c>
      <c r="H77" s="2">
        <f>$E77*$B$11+$B$10+'Станд.норм.распр.'!B70*$B$12+$C$1</f>
        <v>811.36707422925974</v>
      </c>
      <c r="I77" s="2">
        <f>$E77*$B$11+$B$10+'Станд.норм.распр.'!C70*$B$12+$C$1</f>
        <v>813.40622728900053</v>
      </c>
      <c r="J77" s="2">
        <f>$E77*$B$11+$B$10+'Станд.норм.распр.'!D70*$B$12+$C$1</f>
        <v>811.61486833449453</v>
      </c>
      <c r="K77" s="2">
        <f>$E77*$B$11+$B$10+'Станд.норм.распр.'!E70*$B$12+$C$1</f>
        <v>811.34474158685771</v>
      </c>
      <c r="L77" s="2">
        <f>$E77*$B$11+$B$10+'Станд.норм.распр.'!F70*$B$12+$C$1</f>
        <v>814.08848473953549</v>
      </c>
      <c r="M77" s="2">
        <f>$E77*$B$11+$B$10+'Станд.норм.распр.'!G70*$B$12+$C$1</f>
        <v>808.16003447549883</v>
      </c>
      <c r="N77" s="2">
        <f>$E77*$B$11+$B$10+'Станд.норм.распр.'!H70*$B$12+$C$1</f>
        <v>810.87769332012977</v>
      </c>
      <c r="O77" s="2">
        <f>$E77*$B$11+$B$10+'Станд.норм.распр.'!I70*$B$12+$C$1</f>
        <v>812.16209310665727</v>
      </c>
      <c r="P77" s="2">
        <f>$E77*$B$11+$B$10+'Станд.норм.распр.'!J70*$B$12+$C$1</f>
        <v>812.53504277780303</v>
      </c>
      <c r="Q77" s="2">
        <f>$E77*$B$11+$B$10+'Станд.норм.распр.'!K70*$B$12+$C$1</f>
        <v>812.90435436402913</v>
      </c>
    </row>
    <row r="78" spans="3:17" x14ac:dyDescent="0.35">
      <c r="C78" s="4" t="s">
        <v>77</v>
      </c>
      <c r="D78" s="4" t="s">
        <v>5</v>
      </c>
      <c r="E78" s="4">
        <v>418</v>
      </c>
      <c r="F78" s="4"/>
      <c r="G78" s="4" t="s">
        <v>5</v>
      </c>
      <c r="H78" s="2">
        <f>$E78*$B$11+$B$10+'Станд.норм.распр.'!B71*$B$12+$C$1</f>
        <v>523.19831304598483</v>
      </c>
      <c r="I78" s="2">
        <f>$E78*$B$11+$B$10+'Станд.норм.распр.'!C71*$B$12+$C$1</f>
        <v>518.76466517889639</v>
      </c>
      <c r="J78" s="2">
        <f>$E78*$B$11+$B$10+'Станд.норм.распр.'!D71*$B$12+$C$1</f>
        <v>516.13664385833545</v>
      </c>
      <c r="K78" s="2">
        <f>$E78*$B$11+$B$10+'Станд.норм.распр.'!E71*$B$12+$C$1</f>
        <v>516.35696894983994</v>
      </c>
      <c r="L78" s="2">
        <f>$E78*$B$11+$B$10+'Станд.норм.распр.'!F71*$B$12+$C$1</f>
        <v>520.58698560678749</v>
      </c>
      <c r="M78" s="2">
        <f>$E78*$B$11+$B$10+'Станд.норм.распр.'!G71*$B$12+$C$1</f>
        <v>517.76187223687884</v>
      </c>
      <c r="N78" s="2">
        <f>$E78*$B$11+$B$10+'Станд.норм.распр.'!H71*$B$12+$C$1</f>
        <v>518.85035322222393</v>
      </c>
      <c r="O78" s="2">
        <f>$E78*$B$11+$B$10+'Станд.норм.распр.'!I71*$B$12+$C$1</f>
        <v>522.01677266886691</v>
      </c>
      <c r="P78" s="2">
        <f>$E78*$B$11+$B$10+'Станд.норм.распр.'!J71*$B$12+$C$1</f>
        <v>516.84915337638813</v>
      </c>
      <c r="Q78" s="2">
        <f>$E78*$B$11+$B$10+'Станд.норм.распр.'!K71*$B$12+$C$1</f>
        <v>524.17576757172355</v>
      </c>
    </row>
    <row r="79" spans="3:17" x14ac:dyDescent="0.35">
      <c r="C79" s="4" t="s">
        <v>78</v>
      </c>
      <c r="D79" s="4" t="s">
        <v>5</v>
      </c>
      <c r="E79" s="4">
        <v>876</v>
      </c>
      <c r="F79" s="4"/>
      <c r="G79" s="4" t="s">
        <v>5</v>
      </c>
      <c r="H79" s="2">
        <f>$E79*$B$11+$B$10+'Станд.норм.распр.'!B72*$B$12+$C$1</f>
        <v>979.35347477225878</v>
      </c>
      <c r="I79" s="2">
        <f>$E79*$B$11+$B$10+'Станд.норм.распр.'!C72*$B$12+$C$1</f>
        <v>974.56762156519108</v>
      </c>
      <c r="J79" s="2">
        <f>$E79*$B$11+$B$10+'Станд.норм.распр.'!D72*$B$12+$C$1</f>
        <v>975.54688815301051</v>
      </c>
      <c r="K79" s="2">
        <f>$E79*$B$11+$B$10+'Станд.норм.распр.'!E72*$B$12+$C$1</f>
        <v>975.16366573920823</v>
      </c>
      <c r="L79" s="2">
        <f>$E79*$B$11+$B$10+'Станд.норм.распр.'!F72*$B$12+$C$1</f>
        <v>976.60498064663261</v>
      </c>
      <c r="M79" s="2">
        <f>$E79*$B$11+$B$10+'Станд.норм.распр.'!G72*$B$12+$C$1</f>
        <v>973.76537902612472</v>
      </c>
      <c r="N79" s="2">
        <f>$E79*$B$11+$B$10+'Станд.норм.распр.'!H72*$B$12+$C$1</f>
        <v>976.07774202054134</v>
      </c>
      <c r="O79" s="2">
        <f>$E79*$B$11+$B$10+'Станд.норм.распр.'!I72*$B$12+$C$1</f>
        <v>972.04601112473756</v>
      </c>
      <c r="P79" s="2">
        <f>$E79*$B$11+$B$10+'Станд.норм.распр.'!J72*$B$12+$C$1</f>
        <v>979.08912217910984</v>
      </c>
      <c r="Q79" s="2">
        <f>$E79*$B$11+$B$10+'Станд.норм.распр.'!K72*$B$12+$C$1</f>
        <v>979.24058374240121</v>
      </c>
    </row>
    <row r="80" spans="3:17" x14ac:dyDescent="0.35">
      <c r="C80" s="4" t="s">
        <v>79</v>
      </c>
      <c r="D80" s="4" t="s">
        <v>5</v>
      </c>
      <c r="E80" s="4">
        <v>757</v>
      </c>
      <c r="F80" s="4"/>
      <c r="G80" s="4" t="s">
        <v>5</v>
      </c>
      <c r="H80" s="2">
        <f>$E80*$B$11+$B$10+'Станд.норм.распр.'!B73*$B$12+$C$1</f>
        <v>862.67684378943522</v>
      </c>
      <c r="I80" s="2">
        <f>$E80*$B$11+$B$10+'Станд.норм.распр.'!C73*$B$12+$C$1</f>
        <v>859.71599515649723</v>
      </c>
      <c r="J80" s="2">
        <f>$E80*$B$11+$B$10+'Станд.норм.распр.'!D73*$B$12+$C$1</f>
        <v>859.064378582465</v>
      </c>
      <c r="K80" s="2">
        <f>$E80*$B$11+$B$10+'Станд.норм.распр.'!E73*$B$12+$C$1</f>
        <v>855.76504785384168</v>
      </c>
      <c r="L80" s="2">
        <f>$E80*$B$11+$B$10+'Станд.норм.распр.'!F73*$B$12+$C$1</f>
        <v>859.00240788722294</v>
      </c>
      <c r="M80" s="2">
        <f>$E80*$B$11+$B$10+'Станд.норм.распр.'!G73*$B$12+$C$1</f>
        <v>856.88930608701776</v>
      </c>
      <c r="N80" s="2">
        <f>$E80*$B$11+$B$10+'Станд.норм.распр.'!H73*$B$12+$C$1</f>
        <v>864.20662979397457</v>
      </c>
      <c r="O80" s="2">
        <f>$E80*$B$11+$B$10+'Станд.норм.распр.'!I73*$B$12+$C$1</f>
        <v>854.48362211498898</v>
      </c>
      <c r="P80" s="2">
        <f>$E80*$B$11+$B$10+'Станд.норм.распр.'!J73*$B$12+$C$1</f>
        <v>859.91318952399888</v>
      </c>
      <c r="Q80" s="2">
        <f>$E80*$B$11+$B$10+'Станд.норм.распр.'!K73*$B$12+$C$1</f>
        <v>856.93637243783451</v>
      </c>
    </row>
    <row r="81" spans="3:17" x14ac:dyDescent="0.35">
      <c r="C81" s="4" t="s">
        <v>80</v>
      </c>
      <c r="D81" s="4" t="s">
        <v>5</v>
      </c>
      <c r="E81" s="4">
        <v>670</v>
      </c>
      <c r="F81" s="4"/>
      <c r="G81" s="4" t="s">
        <v>5</v>
      </c>
      <c r="H81" s="2">
        <f>$E81*$B$11+$B$10+'Станд.норм.распр.'!B74*$B$12+$C$1</f>
        <v>771.09017674326606</v>
      </c>
      <c r="I81" s="2">
        <f>$E81*$B$11+$B$10+'Станд.норм.распр.'!C74*$B$12+$C$1</f>
        <v>775.16082605422707</v>
      </c>
      <c r="J81" s="2">
        <f>$E81*$B$11+$B$10+'Станд.норм.распр.'!D74*$B$12+$C$1</f>
        <v>771.76625076669734</v>
      </c>
      <c r="K81" s="2">
        <f>$E81*$B$11+$B$10+'Станд.норм.распр.'!E74*$B$12+$C$1</f>
        <v>770.87451735958166</v>
      </c>
      <c r="L81" s="2">
        <f>$E81*$B$11+$B$10+'Станд.норм.распр.'!F74*$B$12+$C$1</f>
        <v>772.28396698326105</v>
      </c>
      <c r="M81" s="2">
        <f>$E81*$B$11+$B$10+'Станд.норм.распр.'!G74*$B$12+$C$1</f>
        <v>775.0679893825436</v>
      </c>
      <c r="N81" s="2">
        <f>$E81*$B$11+$B$10+'Станд.норм.распр.'!H74*$B$12+$C$1</f>
        <v>769.00126636525965</v>
      </c>
      <c r="O81" s="2">
        <f>$E81*$B$11+$B$10+'Станд.норм.распр.'!I74*$B$12+$C$1</f>
        <v>774.9551802072092</v>
      </c>
      <c r="P81" s="2">
        <f>$E81*$B$11+$B$10+'Станд.норм.распр.'!J74*$B$12+$C$1</f>
        <v>771.50468804854609</v>
      </c>
      <c r="Q81" s="2">
        <f>$E81*$B$11+$B$10+'Станд.норм.распр.'!K74*$B$12+$C$1</f>
        <v>777.70831616641954</v>
      </c>
    </row>
    <row r="82" spans="3:17" x14ac:dyDescent="0.35">
      <c r="C82" s="4" t="s">
        <v>81</v>
      </c>
      <c r="D82" s="4" t="s">
        <v>5</v>
      </c>
      <c r="E82" s="4">
        <v>823</v>
      </c>
      <c r="F82" s="4"/>
      <c r="G82" s="4" t="s">
        <v>5</v>
      </c>
      <c r="H82" s="2">
        <f>$E82*$B$11+$B$10+'Станд.норм.распр.'!B75*$B$12+$C$1</f>
        <v>926.14446265797596</v>
      </c>
      <c r="I82" s="2">
        <f>$E82*$B$11+$B$10+'Станд.норм.распр.'!C75*$B$12+$C$1</f>
        <v>921.98875626563677</v>
      </c>
      <c r="J82" s="2">
        <f>$E82*$B$11+$B$10+'Станд.норм.распр.'!D75*$B$12+$C$1</f>
        <v>923.12150008438039</v>
      </c>
      <c r="K82" s="2">
        <f>$E82*$B$11+$B$10+'Станд.норм.распр.'!E75*$B$12+$C$1</f>
        <v>922.18084154665121</v>
      </c>
      <c r="L82" s="2">
        <f>$E82*$B$11+$B$10+'Станд.норм.распр.'!F75*$B$12+$C$1</f>
        <v>927.38355596593465</v>
      </c>
      <c r="M82" s="2">
        <f>$E82*$B$11+$B$10+'Станд.норм.распр.'!G75*$B$12+$C$1</f>
        <v>925.31371769182442</v>
      </c>
      <c r="N82" s="2">
        <f>$E82*$B$11+$B$10+'Станд.норм.распр.'!H75*$B$12+$C$1</f>
        <v>924.58408693601086</v>
      </c>
      <c r="O82" s="2">
        <f>$E82*$B$11+$B$10+'Станд.норм.распр.'!I75*$B$12+$C$1</f>
        <v>927.97012547889608</v>
      </c>
      <c r="P82" s="2">
        <f>$E82*$B$11+$B$10+'Станд.норм.распр.'!J75*$B$12+$C$1</f>
        <v>927.93067159873317</v>
      </c>
      <c r="Q82" s="2">
        <f>$E82*$B$11+$B$10+'Станд.норм.распр.'!K75*$B$12+$C$1</f>
        <v>923.99064267385984</v>
      </c>
    </row>
    <row r="83" spans="3:17" x14ac:dyDescent="0.35">
      <c r="C83" s="4" t="s">
        <v>82</v>
      </c>
      <c r="D83" s="4" t="s">
        <v>5</v>
      </c>
      <c r="E83" s="4">
        <v>634</v>
      </c>
      <c r="F83" s="4"/>
      <c r="G83" s="4" t="s">
        <v>5</v>
      </c>
      <c r="H83" s="2">
        <f>$E83*$B$11+$B$10+'Станд.норм.распр.'!B76*$B$12+$C$1</f>
        <v>737.20168920147989</v>
      </c>
      <c r="I83" s="2">
        <f>$E83*$B$11+$B$10+'Станд.норм.распр.'!C76*$B$12+$C$1</f>
        <v>734.22563950147014</v>
      </c>
      <c r="J83" s="2">
        <f>$E83*$B$11+$B$10+'Станд.норм.распр.'!D76*$B$12+$C$1</f>
        <v>736.1309672370553</v>
      </c>
      <c r="K83" s="2">
        <f>$E83*$B$11+$B$10+'Станд.норм.распр.'!E76*$B$12+$C$1</f>
        <v>735.18251205599518</v>
      </c>
      <c r="L83" s="2">
        <f>$E83*$B$11+$B$10+'Станд.норм.распр.'!F76*$B$12+$C$1</f>
        <v>733.41929741503554</v>
      </c>
      <c r="M83" s="2">
        <f>$E83*$B$11+$B$10+'Станд.норм.распр.'!G76*$B$12+$C$1</f>
        <v>731.32100446231198</v>
      </c>
      <c r="N83" s="2">
        <f>$E83*$B$11+$B$10+'Станд.норм.распр.'!H76*$B$12+$C$1</f>
        <v>732.561427906272</v>
      </c>
      <c r="O83" s="2">
        <f>$E83*$B$11+$B$10+'Станд.норм.распр.'!I76*$B$12+$C$1</f>
        <v>734.82536712902947</v>
      </c>
      <c r="P83" s="2">
        <f>$E83*$B$11+$B$10+'Станд.норм.распр.'!J76*$B$12+$C$1</f>
        <v>734.60267507756362</v>
      </c>
      <c r="Q83" s="2">
        <f>$E83*$B$11+$B$10+'Станд.норм.распр.'!K76*$B$12+$C$1</f>
        <v>735.45619027432986</v>
      </c>
    </row>
    <row r="84" spans="3:17" x14ac:dyDescent="0.35">
      <c r="C84" s="4" t="s">
        <v>83</v>
      </c>
      <c r="D84" s="4" t="s">
        <v>5</v>
      </c>
      <c r="E84" s="4">
        <v>407</v>
      </c>
      <c r="F84" s="4"/>
      <c r="G84" s="4" t="s">
        <v>5</v>
      </c>
      <c r="H84" s="2">
        <f>$E84*$B$11+$B$10+'Станд.норм.распр.'!B77*$B$12+$C$1</f>
        <v>509.80320432971348</v>
      </c>
      <c r="I84" s="2">
        <f>$E84*$B$11+$B$10+'Станд.норм.распр.'!C77*$B$12+$C$1</f>
        <v>508.92666857906443</v>
      </c>
      <c r="J84" s="2">
        <f>$E84*$B$11+$B$10+'Станд.норм.распр.'!D77*$B$12+$C$1</f>
        <v>504.51821485208347</v>
      </c>
      <c r="K84" s="2">
        <f>$E84*$B$11+$B$10+'Станд.норм.распр.'!E77*$B$12+$C$1</f>
        <v>503.14470039482694</v>
      </c>
      <c r="L84" s="2">
        <f>$E84*$B$11+$B$10+'Станд.норм.распр.'!F77*$B$12+$C$1</f>
        <v>507.35788912605494</v>
      </c>
      <c r="M84" s="2">
        <f>$E84*$B$11+$B$10+'Станд.норм.распр.'!G77*$B$12+$C$1</f>
        <v>511.30014620683505</v>
      </c>
      <c r="N84" s="2">
        <f>$E84*$B$11+$B$10+'Станд.норм.распр.'!H77*$B$12+$C$1</f>
        <v>507.99381691648159</v>
      </c>
      <c r="O84" s="2">
        <f>$E84*$B$11+$B$10+'Станд.норм.распр.'!I77*$B$12+$C$1</f>
        <v>508.25895053820568</v>
      </c>
      <c r="P84" s="2">
        <f>$E84*$B$11+$B$10+'Станд.норм.распр.'!J77*$B$12+$C$1</f>
        <v>509.9261771083402</v>
      </c>
      <c r="Q84" s="2">
        <f>$E84*$B$11+$B$10+'Станд.норм.распр.'!K77*$B$12+$C$1</f>
        <v>509.39529936657345</v>
      </c>
    </row>
    <row r="85" spans="3:17" x14ac:dyDescent="0.35">
      <c r="C85" s="4" t="s">
        <v>84</v>
      </c>
      <c r="D85" s="4" t="s">
        <v>5</v>
      </c>
      <c r="E85" s="4">
        <v>923</v>
      </c>
      <c r="F85" s="4"/>
      <c r="G85" s="4" t="s">
        <v>5</v>
      </c>
      <c r="H85" s="2">
        <f>$E85*$B$11+$B$10+'Станд.норм.распр.'!B78*$B$12+$C$1</f>
        <v>1021.7161875247257</v>
      </c>
      <c r="I85" s="2">
        <f>$E85*$B$11+$B$10+'Станд.норм.распр.'!C78*$B$12+$C$1</f>
        <v>1026.1272049960098</v>
      </c>
      <c r="J85" s="2">
        <f>$E85*$B$11+$B$10+'Станд.норм.распр.'!D78*$B$12+$C$1</f>
        <v>1023.9451271176222</v>
      </c>
      <c r="K85" s="2">
        <f>$E85*$B$11+$B$10+'Станд.норм.распр.'!E78*$B$12+$C$1</f>
        <v>1027.3245456759469</v>
      </c>
      <c r="L85" s="2">
        <f>$E85*$B$11+$B$10+'Станд.норм.распр.'!F78*$B$12+$C$1</f>
        <v>1022.1858346725639</v>
      </c>
      <c r="M85" s="2">
        <f>$E85*$B$11+$B$10+'Станд.норм.распр.'!G78*$B$12+$C$1</f>
        <v>1020.4793383949436</v>
      </c>
      <c r="N85" s="2">
        <f>$E85*$B$11+$B$10+'Станд.норм.распр.'!H78*$B$12+$C$1</f>
        <v>1028.5405058800534</v>
      </c>
      <c r="O85" s="2">
        <f>$E85*$B$11+$B$10+'Станд.норм.распр.'!I78*$B$12+$C$1</f>
        <v>1026.0670896699594</v>
      </c>
      <c r="P85" s="2">
        <f>$E85*$B$11+$B$10+'Станд.норм.распр.'!J78*$B$12+$C$1</f>
        <v>1024.9064675648697</v>
      </c>
      <c r="Q85" s="2">
        <f>$E85*$B$11+$B$10+'Станд.норм.распр.'!K78*$B$12+$C$1</f>
        <v>1022.1629495121306</v>
      </c>
    </row>
    <row r="86" spans="3:17" x14ac:dyDescent="0.35">
      <c r="C86" s="4" t="s">
        <v>85</v>
      </c>
      <c r="D86" s="4" t="s">
        <v>5</v>
      </c>
      <c r="E86" s="4">
        <v>235</v>
      </c>
      <c r="F86" s="4"/>
      <c r="G86" s="4" t="s">
        <v>5</v>
      </c>
      <c r="H86" s="2">
        <f>$E86*$B$11+$B$10+'Станд.норм.распр.'!B79*$B$12+$C$1</f>
        <v>330.60006768256426</v>
      </c>
      <c r="I86" s="2">
        <f>$E86*$B$11+$B$10+'Станд.норм.распр.'!C79*$B$12+$C$1</f>
        <v>339.15175077755703</v>
      </c>
      <c r="J86" s="2">
        <f>$E86*$B$11+$B$10+'Станд.норм.распр.'!D79*$B$12+$C$1</f>
        <v>334.24095005149138</v>
      </c>
      <c r="K86" s="2">
        <f>$E86*$B$11+$B$10+'Станд.норм.распр.'!E79*$B$12+$C$1</f>
        <v>336.88189415489614</v>
      </c>
      <c r="L86" s="2">
        <f>$E86*$B$11+$B$10+'Станд.норм.распр.'!F79*$B$12+$C$1</f>
        <v>332.90959305351134</v>
      </c>
      <c r="M86" s="2">
        <f>$E86*$B$11+$B$10+'Станд.норм.распр.'!G79*$B$12+$C$1</f>
        <v>337.6535742613778</v>
      </c>
      <c r="N86" s="2">
        <f>$E86*$B$11+$B$10+'Станд.норм.распр.'!H79*$B$12+$C$1</f>
        <v>335.45802449272014</v>
      </c>
      <c r="O86" s="2">
        <f>$E86*$B$11+$B$10+'Станд.норм.распр.'!I79*$B$12+$C$1</f>
        <v>339.47369143835385</v>
      </c>
      <c r="P86" s="2">
        <f>$E86*$B$11+$B$10+'Станд.норм.распр.'!J79*$B$12+$C$1</f>
        <v>343.20410901319701</v>
      </c>
      <c r="Q86" s="2">
        <f>$E86*$B$11+$B$10+'Станд.норм.распр.'!K79*$B$12+$C$1</f>
        <v>337.98290911410004</v>
      </c>
    </row>
    <row r="87" spans="3:17" x14ac:dyDescent="0.35">
      <c r="C87" s="4" t="s">
        <v>86</v>
      </c>
      <c r="D87" s="4" t="s">
        <v>5</v>
      </c>
      <c r="E87" s="4">
        <v>314</v>
      </c>
      <c r="F87" s="4"/>
      <c r="G87" s="4" t="s">
        <v>5</v>
      </c>
      <c r="H87" s="2">
        <f>$E87*$B$11+$B$10+'Станд.норм.распр.'!B80*$B$12+$C$1</f>
        <v>419.81534267337702</v>
      </c>
      <c r="I87" s="2">
        <f>$E87*$B$11+$B$10+'Станд.норм.распр.'!C80*$B$12+$C$1</f>
        <v>413.87576598464511</v>
      </c>
      <c r="J87" s="2">
        <f>$E87*$B$11+$B$10+'Станд.норм.распр.'!D80*$B$12+$C$1</f>
        <v>416.09697714631329</v>
      </c>
      <c r="K87" s="2">
        <f>$E87*$B$11+$B$10+'Станд.норм.распр.'!E80*$B$12+$C$1</f>
        <v>413.16330421506427</v>
      </c>
      <c r="L87" s="2">
        <f>$E87*$B$11+$B$10+'Станд.норм.распр.'!F80*$B$12+$C$1</f>
        <v>417.55815097666346</v>
      </c>
      <c r="M87" s="2">
        <f>$E87*$B$11+$B$10+'Станд.норм.распр.'!G80*$B$12+$C$1</f>
        <v>413.75762262288481</v>
      </c>
      <c r="N87" s="2">
        <f>$E87*$B$11+$B$10+'Станд.норм.распр.'!H80*$B$12+$C$1</f>
        <v>413.28375314589357</v>
      </c>
      <c r="O87" s="2">
        <f>$E87*$B$11+$B$10+'Станд.норм.распр.'!I80*$B$12+$C$1</f>
        <v>410.15086676890496</v>
      </c>
      <c r="P87" s="2">
        <f>$E87*$B$11+$B$10+'Станд.норм.распр.'!J80*$B$12+$C$1</f>
        <v>416.27935584512306</v>
      </c>
      <c r="Q87" s="2">
        <f>$E87*$B$11+$B$10+'Станд.норм.распр.'!K80*$B$12+$C$1</f>
        <v>416.60758566178265</v>
      </c>
    </row>
    <row r="88" spans="3:17" x14ac:dyDescent="0.35">
      <c r="C88" s="4" t="s">
        <v>87</v>
      </c>
      <c r="D88" s="4" t="s">
        <v>5</v>
      </c>
      <c r="E88" s="4">
        <v>911</v>
      </c>
      <c r="F88" s="4"/>
      <c r="G88" s="4" t="s">
        <v>5</v>
      </c>
      <c r="H88" s="2">
        <f>$E88*$B$11+$B$10+'Станд.норм.распр.'!B81*$B$12+$C$1</f>
        <v>1017.5477394299523</v>
      </c>
      <c r="I88" s="2">
        <f>$E88*$B$11+$B$10+'Станд.норм.распр.'!C81*$B$12+$C$1</f>
        <v>1008.7864088173665</v>
      </c>
      <c r="J88" s="2">
        <f>$E88*$B$11+$B$10+'Станд.норм.распр.'!D81*$B$12+$C$1</f>
        <v>1013.4962430466549</v>
      </c>
      <c r="K88" s="2">
        <f>$E88*$B$11+$B$10+'Станд.норм.распр.'!E81*$B$12+$C$1</f>
        <v>1009.0410923449672</v>
      </c>
      <c r="L88" s="2">
        <f>$E88*$B$11+$B$10+'Станд.норм.распр.'!F81*$B$12+$C$1</f>
        <v>1011.8117247085029</v>
      </c>
      <c r="M88" s="2">
        <f>$E88*$B$11+$B$10+'Станд.норм.распр.'!G81*$B$12+$C$1</f>
        <v>1009.8195152177941</v>
      </c>
      <c r="N88" s="2">
        <f>$E88*$B$11+$B$10+'Станд.норм.распр.'!H81*$B$12+$C$1</f>
        <v>1013.2098136064888</v>
      </c>
      <c r="O88" s="2">
        <f>$E88*$B$11+$B$10+'Станд.норм.распр.'!I81*$B$12+$C$1</f>
        <v>1016.0804039852228</v>
      </c>
      <c r="P88" s="2">
        <f>$E88*$B$11+$B$10+'Станд.норм.распр.'!J81*$B$12+$C$1</f>
        <v>1011.6343186719751</v>
      </c>
      <c r="Q88" s="2">
        <f>$E88*$B$11+$B$10+'Станд.норм.распр.'!K81*$B$12+$C$1</f>
        <v>1012.7128065842844</v>
      </c>
    </row>
    <row r="89" spans="3:17" x14ac:dyDescent="0.35">
      <c r="C89" s="4" t="s">
        <v>88</v>
      </c>
      <c r="D89" s="4" t="s">
        <v>5</v>
      </c>
      <c r="E89" s="4">
        <v>273</v>
      </c>
      <c r="F89" s="4"/>
      <c r="G89" s="4" t="s">
        <v>5</v>
      </c>
      <c r="H89" s="2">
        <f>$E89*$B$11+$B$10+'Станд.норм.распр.'!B82*$B$12+$C$1</f>
        <v>376.49268544191727</v>
      </c>
      <c r="I89" s="2">
        <f>$E89*$B$11+$B$10+'Станд.норм.распр.'!C82*$B$12+$C$1</f>
        <v>366.7636887403205</v>
      </c>
      <c r="J89" s="2">
        <f>$E89*$B$11+$B$10+'Станд.норм.распр.'!D82*$B$12+$C$1</f>
        <v>375.23604798116139</v>
      </c>
      <c r="K89" s="2">
        <f>$E89*$B$11+$B$10+'Станд.норм.распр.'!E82*$B$12+$C$1</f>
        <v>376.87152863873052</v>
      </c>
      <c r="L89" s="2">
        <f>$E89*$B$11+$B$10+'Станд.норм.распр.'!F82*$B$12+$C$1</f>
        <v>375.693113406669</v>
      </c>
      <c r="M89" s="2">
        <f>$E89*$B$11+$B$10+'Станд.норм.распр.'!G82*$B$12+$C$1</f>
        <v>369.39615748997312</v>
      </c>
      <c r="N89" s="2">
        <f>$E89*$B$11+$B$10+'Станд.норм.распр.'!H82*$B$12+$C$1</f>
        <v>374.39288159112039</v>
      </c>
      <c r="O89" s="2">
        <f>$E89*$B$11+$B$10+'Станд.норм.распр.'!I82*$B$12+$C$1</f>
        <v>375.06529603524541</v>
      </c>
      <c r="P89" s="2">
        <f>$E89*$B$11+$B$10+'Станд.норм.распр.'!J82*$B$12+$C$1</f>
        <v>374.24356188785168</v>
      </c>
      <c r="Q89" s="2">
        <f>$E89*$B$11+$B$10+'Станд.норм.распр.'!K82*$B$12+$C$1</f>
        <v>373.96596797648817</v>
      </c>
    </row>
    <row r="90" spans="3:17" x14ac:dyDescent="0.35">
      <c r="C90" s="4" t="s">
        <v>89</v>
      </c>
      <c r="D90" s="4" t="s">
        <v>5</v>
      </c>
      <c r="E90" s="4">
        <v>403</v>
      </c>
      <c r="F90" s="4"/>
      <c r="G90" s="4" t="s">
        <v>5</v>
      </c>
      <c r="H90" s="2">
        <f>$E90*$B$11+$B$10+'Станд.норм.распр.'!B83*$B$12+$C$1</f>
        <v>508.41521626978647</v>
      </c>
      <c r="I90" s="2">
        <f>$E90*$B$11+$B$10+'Станд.норм.распр.'!C83*$B$12+$C$1</f>
        <v>506.11736198959989</v>
      </c>
      <c r="J90" s="2">
        <f>$E90*$B$11+$B$10+'Станд.норм.распр.'!D83*$B$12+$C$1</f>
        <v>508.7832273847016</v>
      </c>
      <c r="K90" s="2">
        <f>$E90*$B$11+$B$10+'Станд.норм.распр.'!E83*$B$12+$C$1</f>
        <v>499.08658368338365</v>
      </c>
      <c r="L90" s="2">
        <f>$E90*$B$11+$B$10+'Станд.норм.распр.'!F83*$B$12+$C$1</f>
        <v>508.4187223718618</v>
      </c>
      <c r="M90" s="2">
        <f>$E90*$B$11+$B$10+'Станд.норм.распр.'!G83*$B$12+$C$1</f>
        <v>504.84674445840938</v>
      </c>
      <c r="N90" s="2">
        <f>$E90*$B$11+$B$10+'Станд.норм.распр.'!H83*$B$12+$C$1</f>
        <v>507.95219933832414</v>
      </c>
      <c r="O90" s="2">
        <f>$E90*$B$11+$B$10+'Станд.норм.распр.'!I83*$B$12+$C$1</f>
        <v>506.08691551758966</v>
      </c>
      <c r="P90" s="2">
        <f>$E90*$B$11+$B$10+'Станд.норм.распр.'!J83*$B$12+$C$1</f>
        <v>506.51139840151882</v>
      </c>
      <c r="Q90" s="2">
        <f>$E90*$B$11+$B$10+'Станд.норм.распр.'!K83*$B$12+$C$1</f>
        <v>503.73281456832774</v>
      </c>
    </row>
    <row r="91" spans="3:17" x14ac:dyDescent="0.35">
      <c r="C91" s="4" t="s">
        <v>90</v>
      </c>
      <c r="D91" s="4" t="s">
        <v>5</v>
      </c>
      <c r="E91" s="4">
        <v>692</v>
      </c>
      <c r="F91" s="4"/>
      <c r="G91" s="4" t="s">
        <v>5</v>
      </c>
      <c r="H91" s="2">
        <f>$E91*$B$11+$B$10+'Станд.норм.распр.'!B84*$B$12+$C$1</f>
        <v>793.85800286594895</v>
      </c>
      <c r="I91" s="2">
        <f>$E91*$B$11+$B$10+'Станд.норм.распр.'!C84*$B$12+$C$1</f>
        <v>796.01188868231839</v>
      </c>
      <c r="J91" s="2">
        <f>$E91*$B$11+$B$10+'Станд.норм.распр.'!D84*$B$12+$C$1</f>
        <v>794.85829242379987</v>
      </c>
      <c r="K91" s="2">
        <f>$E91*$B$11+$B$10+'Станд.норм.распр.'!E84*$B$12+$C$1</f>
        <v>796.00987642529071</v>
      </c>
      <c r="L91" s="2">
        <f>$E91*$B$11+$B$10+'Станд.норм.распр.'!F84*$B$12+$C$1</f>
        <v>790.7048847793194</v>
      </c>
      <c r="M91" s="2">
        <f>$E91*$B$11+$B$10+'Станд.норм.распр.'!G84*$B$12+$C$1</f>
        <v>791.94740915604052</v>
      </c>
      <c r="N91" s="2">
        <f>$E91*$B$11+$B$10+'Станд.норм.распр.'!H84*$B$12+$C$1</f>
        <v>791.19543893661466</v>
      </c>
      <c r="O91" s="2">
        <f>$E91*$B$11+$B$10+'Станд.норм.распр.'!I84*$B$12+$C$1</f>
        <v>797.91009507438866</v>
      </c>
      <c r="P91" s="2">
        <f>$E91*$B$11+$B$10+'Станд.норм.распр.'!J84*$B$12+$C$1</f>
        <v>792.62718368603964</v>
      </c>
      <c r="Q91" s="2">
        <f>$E91*$B$11+$B$10+'Станд.норм.распр.'!K84*$B$12+$C$1</f>
        <v>793.04344804235734</v>
      </c>
    </row>
    <row r="92" spans="3:17" x14ac:dyDescent="0.35">
      <c r="C92" s="4" t="s">
        <v>91</v>
      </c>
      <c r="D92" s="4" t="s">
        <v>5</v>
      </c>
      <c r="E92" s="4">
        <v>429</v>
      </c>
      <c r="F92" s="4"/>
      <c r="G92" s="4" t="s">
        <v>5</v>
      </c>
      <c r="H92" s="2">
        <f>$E92*$B$11+$B$10+'Станд.норм.распр.'!B85*$B$12+$C$1</f>
        <v>533.17526348933461</v>
      </c>
      <c r="I92" s="2">
        <f>$E92*$B$11+$B$10+'Станд.норм.распр.'!C85*$B$12+$C$1</f>
        <v>526.29134584008716</v>
      </c>
      <c r="J92" s="2">
        <f>$E92*$B$11+$B$10+'Станд.норм.распр.'!D85*$B$12+$C$1</f>
        <v>532.91746948985383</v>
      </c>
      <c r="K92" s="2">
        <f>$E92*$B$11+$B$10+'Станд.норм.распр.'!E85*$B$12+$C$1</f>
        <v>531.73655428423081</v>
      </c>
      <c r="L92" s="2">
        <f>$E92*$B$11+$B$10+'Станд.норм.распр.'!F85*$B$12+$C$1</f>
        <v>525.90943991986569</v>
      </c>
      <c r="M92" s="2">
        <f>$E92*$B$11+$B$10+'Станд.норм.распр.'!G85*$B$12+$C$1</f>
        <v>533.45503542828374</v>
      </c>
      <c r="N92" s="2">
        <f>$E92*$B$11+$B$10+'Станд.норм.распр.'!H85*$B$12+$C$1</f>
        <v>529.24746055310243</v>
      </c>
      <c r="O92" s="2">
        <f>$E92*$B$11+$B$10+'Станд.норм.распр.'!I85*$B$12+$C$1</f>
        <v>531.86211912275758</v>
      </c>
      <c r="P92" s="2">
        <f>$E92*$B$11+$B$10+'Станд.норм.распр.'!J85*$B$12+$C$1</f>
        <v>534.32422132487409</v>
      </c>
      <c r="Q92" s="2">
        <f>$E92*$B$11+$B$10+'Станд.норм.распр.'!K85*$B$12+$C$1</f>
        <v>531.57552938415029</v>
      </c>
    </row>
    <row r="93" spans="3:17" x14ac:dyDescent="0.35">
      <c r="C93" s="4" t="s">
        <v>92</v>
      </c>
      <c r="D93" s="4" t="s">
        <v>5</v>
      </c>
      <c r="E93" s="4">
        <v>902</v>
      </c>
      <c r="F93" s="4"/>
      <c r="G93" s="4" t="s">
        <v>5</v>
      </c>
      <c r="H93" s="2">
        <f>$E93*$B$11+$B$10+'Станд.норм.распр.'!B86*$B$12+$C$1</f>
        <v>1002.9172488312761</v>
      </c>
      <c r="I93" s="2">
        <f>$E93*$B$11+$B$10+'Станд.норм.распр.'!C86*$B$12+$C$1</f>
        <v>1005.0585358722892</v>
      </c>
      <c r="J93" s="2">
        <f>$E93*$B$11+$B$10+'Станд.норм.распр.'!D86*$B$12+$C$1</f>
        <v>1008.0375562093686</v>
      </c>
      <c r="K93" s="2">
        <f>$E93*$B$11+$B$10+'Станд.норм.распр.'!E86*$B$12+$C$1</f>
        <v>999.30389686697163</v>
      </c>
      <c r="L93" s="2">
        <f>$E93*$B$11+$B$10+'Станд.норм.распр.'!F86*$B$12+$C$1</f>
        <v>1005.232340309798</v>
      </c>
      <c r="M93" s="2">
        <f>$E93*$B$11+$B$10+'Станд.норм.распр.'!G86*$B$12+$C$1</f>
        <v>1004.3162551820424</v>
      </c>
      <c r="N93" s="2">
        <f>$E93*$B$11+$B$10+'Станд.норм.распр.'!H86*$B$12+$C$1</f>
        <v>1003.6213614394946</v>
      </c>
      <c r="O93" s="2">
        <f>$E93*$B$11+$B$10+'Станд.норм.распр.'!I86*$B$12+$C$1</f>
        <v>999.38723841396859</v>
      </c>
      <c r="P93" s="2">
        <f>$E93*$B$11+$B$10+'Станд.норм.распр.'!J86*$B$12+$C$1</f>
        <v>1004.4411822374095</v>
      </c>
      <c r="Q93" s="2">
        <f>$E93*$B$11+$B$10+'Станд.норм.распр.'!K86*$B$12+$C$1</f>
        <v>1003.245928847813</v>
      </c>
    </row>
    <row r="94" spans="3:17" x14ac:dyDescent="0.35">
      <c r="C94" s="4" t="s">
        <v>93</v>
      </c>
      <c r="D94" s="4" t="s">
        <v>5</v>
      </c>
      <c r="E94" s="4">
        <v>283</v>
      </c>
      <c r="F94" s="4"/>
      <c r="G94" s="4" t="s">
        <v>5</v>
      </c>
      <c r="H94" s="2">
        <f>$E94*$B$11+$B$10+'Станд.норм.распр.'!B87*$B$12+$C$1</f>
        <v>384.24758640190703</v>
      </c>
      <c r="I94" s="2">
        <f>$E94*$B$11+$B$10+'Станд.норм.распр.'!C87*$B$12+$C$1</f>
        <v>387.20432184505626</v>
      </c>
      <c r="J94" s="2">
        <f>$E94*$B$11+$B$10+'Станд.норм.распр.'!D87*$B$12+$C$1</f>
        <v>381.47456661477918</v>
      </c>
      <c r="K94" s="2">
        <f>$E94*$B$11+$B$10+'Станд.норм.распр.'!E87*$B$12+$C$1</f>
        <v>389.73398813483072</v>
      </c>
      <c r="L94" s="2">
        <f>$E94*$B$11+$B$10+'Станд.норм.распр.'!F87*$B$12+$C$1</f>
        <v>385.26375367573928</v>
      </c>
      <c r="M94" s="2">
        <f>$E94*$B$11+$B$10+'Станд.норм.распр.'!G87*$B$12+$C$1</f>
        <v>387.89719991997117</v>
      </c>
      <c r="N94" s="2">
        <f>$E94*$B$11+$B$10+'Станд.норм.распр.'!H87*$B$12+$C$1</f>
        <v>384.85363729138044</v>
      </c>
      <c r="O94" s="2">
        <f>$E94*$B$11+$B$10+'Станд.норм.распр.'!I87*$B$12+$C$1</f>
        <v>383.30834667591262</v>
      </c>
      <c r="P94" s="2">
        <f>$E94*$B$11+$B$10+'Станд.норм.распр.'!J87*$B$12+$C$1</f>
        <v>386.17611989480793</v>
      </c>
      <c r="Q94" s="2">
        <f>$E94*$B$11+$B$10+'Станд.норм.распр.'!K87*$B$12+$C$1</f>
        <v>384.63319147960283</v>
      </c>
    </row>
    <row r="95" spans="3:17" x14ac:dyDescent="0.35">
      <c r="C95" s="4" t="s">
        <v>94</v>
      </c>
      <c r="D95" s="4" t="s">
        <v>5</v>
      </c>
      <c r="E95" s="4">
        <v>677</v>
      </c>
      <c r="F95" s="4"/>
      <c r="G95" s="4" t="s">
        <v>5</v>
      </c>
      <c r="H95" s="2">
        <f>$E95*$B$11+$B$10+'Станд.норм.распр.'!B88*$B$12+$C$1</f>
        <v>781.73879777523689</v>
      </c>
      <c r="I95" s="2">
        <f>$E95*$B$11+$B$10+'Станд.норм.распр.'!C88*$B$12+$C$1</f>
        <v>774.88268337902264</v>
      </c>
      <c r="J95" s="2">
        <f>$E95*$B$11+$B$10+'Станд.норм.распр.'!D88*$B$12+$C$1</f>
        <v>780.4525562619383</v>
      </c>
      <c r="K95" s="2">
        <f>$E95*$B$11+$B$10+'Станд.норм.распр.'!E88*$B$12+$C$1</f>
        <v>778.34156665706541</v>
      </c>
      <c r="L95" s="2">
        <f>$E95*$B$11+$B$10+'Станд.норм.распр.'!F88*$B$12+$C$1</f>
        <v>778.62922629492823</v>
      </c>
      <c r="M95" s="2">
        <f>$E95*$B$11+$B$10+'Станд.норм.распр.'!G88*$B$12+$C$1</f>
        <v>781.00700469576987</v>
      </c>
      <c r="N95" s="2">
        <f>$E95*$B$11+$B$10+'Станд.норм.распр.'!H88*$B$12+$C$1</f>
        <v>777.27785586603568</v>
      </c>
      <c r="O95" s="2">
        <f>$E95*$B$11+$B$10+'Станд.норм.распр.'!I88*$B$12+$C$1</f>
        <v>778.94434574546176</v>
      </c>
      <c r="P95" s="2">
        <f>$E95*$B$11+$B$10+'Станд.норм.распр.'!J88*$B$12+$C$1</f>
        <v>784.4606243793387</v>
      </c>
      <c r="Q95" s="2">
        <f>$E95*$B$11+$B$10+'Станд.норм.распр.'!K88*$B$12+$C$1</f>
        <v>777.19850472704275</v>
      </c>
    </row>
    <row r="96" spans="3:17" x14ac:dyDescent="0.35">
      <c r="C96" s="4" t="s">
        <v>95</v>
      </c>
      <c r="D96" s="4" t="s">
        <v>5</v>
      </c>
      <c r="E96" s="4">
        <v>316</v>
      </c>
      <c r="F96" s="4"/>
      <c r="G96" s="4" t="s">
        <v>5</v>
      </c>
      <c r="H96" s="2">
        <f>$E96*$B$11+$B$10+'Станд.норм.распр.'!B89*$B$12+$C$1</f>
        <v>417.27219050732674</v>
      </c>
      <c r="I96" s="2">
        <f>$E96*$B$11+$B$10+'Станд.норм.распр.'!C89*$B$12+$C$1</f>
        <v>418.42541500988591</v>
      </c>
      <c r="J96" s="2">
        <f>$E96*$B$11+$B$10+'Станд.норм.распр.'!D89*$B$12+$C$1</f>
        <v>420.48531478064251</v>
      </c>
      <c r="K96" s="2">
        <f>$E96*$B$11+$B$10+'Станд.норм.распр.'!E89*$B$12+$C$1</f>
        <v>420.10804728340008</v>
      </c>
      <c r="L96" s="2">
        <f>$E96*$B$11+$B$10+'Станд.норм.распр.'!F89*$B$12+$C$1</f>
        <v>417.5179450706928</v>
      </c>
      <c r="M96" s="2">
        <f>$E96*$B$11+$B$10+'Станд.норм.распр.'!G89*$B$12+$C$1</f>
        <v>422.7710136641399</v>
      </c>
      <c r="N96" s="2">
        <f>$E96*$B$11+$B$10+'Станд.норм.распр.'!H89*$B$12+$C$1</f>
        <v>414.6821360430913</v>
      </c>
      <c r="O96" s="2">
        <f>$E96*$B$11+$B$10+'Станд.норм.распр.'!I89*$B$12+$C$1</f>
        <v>423.14163730258588</v>
      </c>
      <c r="P96" s="2">
        <f>$E96*$B$11+$B$10+'Станд.норм.распр.'!J89*$B$12+$C$1</f>
        <v>417.34736706563854</v>
      </c>
      <c r="Q96" s="2">
        <f>$E96*$B$11+$B$10+'Станд.норм.распр.'!K89*$B$12+$C$1</f>
        <v>418.42471924643905</v>
      </c>
    </row>
    <row r="97" spans="3:17" x14ac:dyDescent="0.35">
      <c r="C97" s="4" t="s">
        <v>96</v>
      </c>
      <c r="D97" s="4" t="s">
        <v>5</v>
      </c>
      <c r="E97" s="4">
        <v>305</v>
      </c>
      <c r="F97" s="4"/>
      <c r="G97" s="4" t="s">
        <v>5</v>
      </c>
      <c r="H97" s="2">
        <f>$E97*$B$11+$B$10+'Станд.норм.распр.'!B90*$B$12+$C$1</f>
        <v>404.61612684778811</v>
      </c>
      <c r="I97" s="2">
        <f>$E97*$B$11+$B$10+'Станд.норм.распр.'!C90*$B$12+$C$1</f>
        <v>408.95506117961486</v>
      </c>
      <c r="J97" s="2">
        <f>$E97*$B$11+$B$10+'Станд.норм.распр.'!D90*$B$12+$C$1</f>
        <v>406.0547917150252</v>
      </c>
      <c r="K97" s="2">
        <f>$E97*$B$11+$B$10+'Станд.норм.распр.'!E90*$B$12+$C$1</f>
        <v>406.19232301786542</v>
      </c>
      <c r="L97" s="2">
        <f>$E97*$B$11+$B$10+'Станд.норм.распр.'!F90*$B$12+$C$1</f>
        <v>408.56349301505543</v>
      </c>
      <c r="M97" s="2">
        <f>$E97*$B$11+$B$10+'Станд.норм.распр.'!G90*$B$12+$C$1</f>
        <v>403.35744643455837</v>
      </c>
      <c r="N97" s="2">
        <f>$E97*$B$11+$B$10+'Станд.норм.распр.'!H90*$B$12+$C$1</f>
        <v>406.81525434122887</v>
      </c>
      <c r="O97" s="2">
        <f>$E97*$B$11+$B$10+'Станд.норм.распр.'!I90*$B$12+$C$1</f>
        <v>408.20318304652756</v>
      </c>
      <c r="P97" s="2">
        <f>$E97*$B$11+$B$10+'Станд.норм.распр.'!J90*$B$12+$C$1</f>
        <v>410.61584170605056</v>
      </c>
      <c r="Q97" s="2">
        <f>$E97*$B$11+$B$10+'Станд.норм.распр.'!K90*$B$12+$C$1</f>
        <v>411.58232534583658</v>
      </c>
    </row>
    <row r="98" spans="3:17" x14ac:dyDescent="0.35">
      <c r="C98" s="4" t="s">
        <v>97</v>
      </c>
      <c r="D98" s="4" t="s">
        <v>5</v>
      </c>
      <c r="E98" s="4">
        <v>970</v>
      </c>
      <c r="F98" s="4"/>
      <c r="G98" s="4" t="s">
        <v>5</v>
      </c>
      <c r="H98" s="2">
        <f>$E98*$B$11+$B$10+'Станд.норм.распр.'!B91*$B$12+$C$1</f>
        <v>1070.7955720825994</v>
      </c>
      <c r="I98" s="2">
        <f>$E98*$B$11+$B$10+'Станд.норм.распр.'!C91*$B$12+$C$1</f>
        <v>1070.4230862537515</v>
      </c>
      <c r="J98" s="2">
        <f>$E98*$B$11+$B$10+'Станд.норм.распр.'!D91*$B$12+$C$1</f>
        <v>1071.2072559962253</v>
      </c>
      <c r="K98" s="2">
        <f>$E98*$B$11+$B$10+'Станд.норм.распр.'!E91*$B$12+$C$1</f>
        <v>1069.4733691487927</v>
      </c>
      <c r="L98" s="2">
        <f>$E98*$B$11+$B$10+'Станд.норм.распр.'!F91*$B$12+$C$1</f>
        <v>1072.4581261237036</v>
      </c>
      <c r="M98" s="2">
        <f>$E98*$B$11+$B$10+'Станд.норм.распр.'!G91*$B$12+$C$1</f>
        <v>1068.0748300509294</v>
      </c>
      <c r="N98" s="2">
        <f>$E98*$B$11+$B$10+'Станд.норм.распр.'!H91*$B$12+$C$1</f>
        <v>1069.9970129970752</v>
      </c>
      <c r="O98" s="2">
        <f>$E98*$B$11+$B$10+'Станд.норм.распр.'!I91*$B$12+$C$1</f>
        <v>1074.1797450244776</v>
      </c>
      <c r="P98" s="2">
        <f>$E98*$B$11+$B$10+'Станд.норм.распр.'!J91*$B$12+$C$1</f>
        <v>1072.6005598152115</v>
      </c>
      <c r="Q98" s="2">
        <f>$E98*$B$11+$B$10+'Станд.норм.распр.'!K91*$B$12+$C$1</f>
        <v>1071.6236738297739</v>
      </c>
    </row>
    <row r="99" spans="3:17" x14ac:dyDescent="0.35">
      <c r="C99" s="4" t="s">
        <v>98</v>
      </c>
      <c r="D99" s="4" t="s">
        <v>5</v>
      </c>
      <c r="E99" s="4">
        <v>362</v>
      </c>
      <c r="F99" s="4"/>
      <c r="G99" s="4" t="s">
        <v>5</v>
      </c>
      <c r="H99" s="2">
        <f>$E99*$B$11+$B$10+'Станд.норм.распр.'!B92*$B$12+$C$1</f>
        <v>458.28606315632351</v>
      </c>
      <c r="I99" s="2">
        <f>$E99*$B$11+$B$10+'Станд.норм.распр.'!C92*$B$12+$C$1</f>
        <v>458.30980096803978</v>
      </c>
      <c r="J99" s="2">
        <f>$E99*$B$11+$B$10+'Станд.норм.распр.'!D92*$B$12+$C$1</f>
        <v>459.73091827187454</v>
      </c>
      <c r="K99" s="2">
        <f>$E99*$B$11+$B$10+'Станд.норм.распр.'!E92*$B$12+$C$1</f>
        <v>465.55325096784509</v>
      </c>
      <c r="L99" s="2">
        <f>$E99*$B$11+$B$10+'Станд.норм.распр.'!F92*$B$12+$C$1</f>
        <v>464.81534267337702</v>
      </c>
      <c r="M99" s="2">
        <f>$E99*$B$11+$B$10+'Станд.норм.распр.'!G92*$B$12+$C$1</f>
        <v>468.15411705034785</v>
      </c>
      <c r="N99" s="2">
        <f>$E99*$B$11+$B$10+'Станд.норм.распр.'!H92*$B$12+$C$1</f>
        <v>467.48972879085341</v>
      </c>
      <c r="O99" s="2">
        <f>$E99*$B$11+$B$10+'Станд.норм.распр.'!I92*$B$12+$C$1</f>
        <v>467.32422132487409</v>
      </c>
      <c r="P99" s="2">
        <f>$E99*$B$11+$B$10+'Станд.норм.распр.'!J92*$B$12+$C$1</f>
        <v>465.03043042449281</v>
      </c>
      <c r="Q99" s="2">
        <f>$E99*$B$11+$B$10+'Станд.норм.распр.'!K92*$B$12+$C$1</f>
        <v>463.54698296278366</v>
      </c>
    </row>
    <row r="100" spans="3:17" x14ac:dyDescent="0.35">
      <c r="C100" s="4" t="s">
        <v>99</v>
      </c>
      <c r="D100" s="4" t="s">
        <v>5</v>
      </c>
      <c r="E100" s="4">
        <v>836</v>
      </c>
      <c r="F100" s="4"/>
      <c r="G100" s="4" t="s">
        <v>5</v>
      </c>
      <c r="H100" s="2">
        <f>$E100*$B$11+$B$10+'Станд.норм.распр.'!B93*$B$12+$C$1</f>
        <v>945.26982761989348</v>
      </c>
      <c r="I100" s="2">
        <f>$E100*$B$11+$B$10+'Станд.норм.распр.'!C93*$B$12+$C$1</f>
        <v>941.81341124011669</v>
      </c>
      <c r="J100" s="2">
        <f>$E100*$B$11+$B$10+'Станд.норм.распр.'!D93*$B$12+$C$1</f>
        <v>933.02987417751865</v>
      </c>
      <c r="K100" s="2">
        <f>$E100*$B$11+$B$10+'Станд.норм.распр.'!E93*$B$12+$C$1</f>
        <v>940.64779600911424</v>
      </c>
      <c r="L100" s="2">
        <f>$E100*$B$11+$B$10+'Станд.норм.распр.'!F93*$B$12+$C$1</f>
        <v>936.66124539948942</v>
      </c>
      <c r="M100" s="2">
        <f>$E100*$B$11+$B$10+'Станд.норм.распр.'!G93*$B$12+$C$1</f>
        <v>942.633839125745</v>
      </c>
      <c r="N100" s="2">
        <f>$E100*$B$11+$B$10+'Станд.норм.распр.'!H93*$B$12+$C$1</f>
        <v>933.59318439423805</v>
      </c>
      <c r="O100" s="2">
        <f>$E100*$B$11+$B$10+'Станд.норм.распр.'!I93*$B$12+$C$1</f>
        <v>941.84108933151583</v>
      </c>
      <c r="P100" s="2">
        <f>$E100*$B$11+$B$10+'Станд.норм.распр.'!J93*$B$12+$C$1</f>
        <v>936.63075117900735</v>
      </c>
      <c r="Q100" s="2">
        <f>$E100*$B$11+$B$10+'Станд.норм.распр.'!K93*$B$12+$C$1</f>
        <v>941.82268808607478</v>
      </c>
    </row>
    <row r="101" spans="3:17" x14ac:dyDescent="0.35">
      <c r="C101" s="4" t="s">
        <v>100</v>
      </c>
      <c r="D101" s="4" t="s">
        <v>5</v>
      </c>
      <c r="E101" s="4">
        <v>66</v>
      </c>
      <c r="F101" s="4"/>
      <c r="G101" s="4" t="s">
        <v>5</v>
      </c>
      <c r="H101" s="2">
        <f>$E101*$B$11+$B$10+'Станд.норм.распр.'!B94*$B$12+$C$1</f>
        <v>170.66579718299909</v>
      </c>
      <c r="I101" s="2">
        <f>$E101*$B$11+$B$10+'Станд.норм.распр.'!C94*$B$12+$C$1</f>
        <v>171.06721858578385</v>
      </c>
      <c r="J101" s="2">
        <f>$E101*$B$11+$B$10+'Станд.норм.распр.'!D94*$B$12+$C$1</f>
        <v>162.71368720757891</v>
      </c>
      <c r="K101" s="2">
        <f>$E101*$B$11+$B$10+'Станд.норм.распр.'!E94*$B$12+$C$1</f>
        <v>170.17496335608303</v>
      </c>
      <c r="L101" s="2">
        <f>$E101*$B$11+$B$10+'Станд.норм.распр.'!F94*$B$12+$C$1</f>
        <v>170.7489068088471</v>
      </c>
      <c r="M101" s="2">
        <f>$E101*$B$11+$B$10+'Станд.норм.распр.'!G94*$B$12+$C$1</f>
        <v>168.14130819181446</v>
      </c>
      <c r="N101" s="2">
        <f>$E101*$B$11+$B$10+'Станд.норм.распр.'!H94*$B$12+$C$1</f>
        <v>168.78086486610118</v>
      </c>
      <c r="O101" s="2">
        <f>$E101*$B$11+$B$10+'Станд.норм.распр.'!I94*$B$12+$C$1</f>
        <v>169.87208456736698</v>
      </c>
      <c r="P101" s="2">
        <f>$E101*$B$11+$B$10+'Станд.норм.распр.'!J94*$B$12+$C$1</f>
        <v>158.45510776340961</v>
      </c>
      <c r="Q101" s="2">
        <f>$E101*$B$11+$B$10+'Станд.норм.распр.'!K94*$B$12+$C$1</f>
        <v>169.40448719321284</v>
      </c>
    </row>
    <row r="102" spans="3:17" x14ac:dyDescent="0.35">
      <c r="C102" s="4" t="s">
        <v>101</v>
      </c>
      <c r="D102" s="4" t="s">
        <v>5</v>
      </c>
      <c r="E102" s="4">
        <v>590</v>
      </c>
      <c r="F102" s="4"/>
      <c r="G102" s="4" t="s">
        <v>5</v>
      </c>
      <c r="H102" s="2">
        <f>$E102*$B$11+$B$10+'Станд.норм.распр.'!B95*$B$12+$C$1</f>
        <v>691.43218199405237</v>
      </c>
      <c r="I102" s="2">
        <f>$E102*$B$11+$B$10+'Станд.норм.распр.'!C95*$B$12+$C$1</f>
        <v>693.14471163215057</v>
      </c>
      <c r="J102" s="2">
        <f>$E102*$B$11+$B$10+'Станд.норм.распр.'!D95*$B$12+$C$1</f>
        <v>694.52695826929994</v>
      </c>
      <c r="K102" s="2">
        <f>$E102*$B$11+$B$10+'Станд.норм.распр.'!E95*$B$12+$C$1</f>
        <v>689.09437588535366</v>
      </c>
      <c r="L102" s="2">
        <f>$E102*$B$11+$B$10+'Станд.норм.распр.'!F95*$B$12+$C$1</f>
        <v>689.22831034887349</v>
      </c>
      <c r="M102" s="2">
        <f>$E102*$B$11+$B$10+'Станд.норм.распр.'!G95*$B$12+$C$1</f>
        <v>686.22284417960327</v>
      </c>
      <c r="N102" s="2">
        <f>$E102*$B$11+$B$10+'Станд.норм.распр.'!H95*$B$12+$C$1</f>
        <v>689.58293824925204</v>
      </c>
      <c r="O102" s="2">
        <f>$E102*$B$11+$B$10+'Станд.норм.распр.'!I95*$B$12+$C$1</f>
        <v>690.69437601773825</v>
      </c>
      <c r="P102" s="2">
        <f>$E102*$B$11+$B$10+'Станд.норм.распр.'!J95*$B$12+$C$1</f>
        <v>690.44910917090601</v>
      </c>
      <c r="Q102" s="2">
        <f>$E102*$B$11+$B$10+'Станд.норм.распр.'!K95*$B$12+$C$1</f>
        <v>689.53697455464862</v>
      </c>
    </row>
    <row r="103" spans="3:17" x14ac:dyDescent="0.35">
      <c r="C103" s="4" t="s">
        <v>102</v>
      </c>
      <c r="D103" s="4" t="s">
        <v>5</v>
      </c>
      <c r="E103" s="4">
        <v>852</v>
      </c>
      <c r="F103" s="4"/>
      <c r="G103" s="4" t="s">
        <v>5</v>
      </c>
      <c r="H103" s="2">
        <f>$E103*$B$11+$B$10+'Станд.норм.распр.'!B96*$B$12+$C$1</f>
        <v>951.84260808155523</v>
      </c>
      <c r="I103" s="2">
        <f>$E103*$B$11+$B$10+'Станд.норм.распр.'!C96*$B$12+$C$1</f>
        <v>957.14209501084406</v>
      </c>
      <c r="J103" s="2">
        <f>$E103*$B$11+$B$10+'Станд.норм.распр.'!D96*$B$12+$C$1</f>
        <v>948.18298340667388</v>
      </c>
      <c r="K103" s="2">
        <f>$E103*$B$11+$B$10+'Станд.норм.распр.'!E96*$B$12+$C$1</f>
        <v>951.7078550728038</v>
      </c>
      <c r="L103" s="2">
        <f>$E103*$B$11+$B$10+'Станд.норм.распр.'!F96*$B$12+$C$1</f>
        <v>955.61498633133306</v>
      </c>
      <c r="M103" s="2">
        <f>$E103*$B$11+$B$10+'Станд.норм.распр.'!G96*$B$12+$C$1</f>
        <v>955.59089722728822</v>
      </c>
      <c r="N103" s="2">
        <f>$E103*$B$11+$B$10+'Станд.норм.распр.'!H96*$B$12+$C$1</f>
        <v>951.68628299534612</v>
      </c>
      <c r="O103" s="2">
        <f>$E103*$B$11+$B$10+'Станд.норм.распр.'!I96*$B$12+$C$1</f>
        <v>948.07209543278441</v>
      </c>
      <c r="P103" s="2">
        <f>$E103*$B$11+$B$10+'Станд.норм.распр.'!J96*$B$12+$C$1</f>
        <v>956.60102979154908</v>
      </c>
      <c r="Q103" s="2">
        <f>$E103*$B$11+$B$10+'Станд.норм.распр.'!K96*$B$12+$C$1</f>
        <v>957.26881263390533</v>
      </c>
    </row>
    <row r="104" spans="3:17" x14ac:dyDescent="0.35">
      <c r="C104" s="4" t="s">
        <v>103</v>
      </c>
      <c r="D104" s="4" t="s">
        <v>5</v>
      </c>
      <c r="E104" s="4">
        <v>963</v>
      </c>
      <c r="F104" s="4"/>
      <c r="G104" s="4" t="s">
        <v>5</v>
      </c>
      <c r="H104" s="2">
        <f>$E104*$B$11+$B$10+'Станд.норм.распр.'!B97*$B$12+$C$1</f>
        <v>1067.0703191694338</v>
      </c>
      <c r="I104" s="2">
        <f>$E104*$B$11+$B$10+'Станд.норм.распр.'!C97*$B$12+$C$1</f>
        <v>1063.0224629325676</v>
      </c>
      <c r="J104" s="2">
        <f>$E104*$B$11+$B$10+'Станд.норм.распр.'!D97*$B$12+$C$1</f>
        <v>1065.8348888513865</v>
      </c>
      <c r="K104" s="2">
        <f>$E104*$B$11+$B$10+'Станд.норм.распр.'!E97*$B$12+$C$1</f>
        <v>1065.9930863598129</v>
      </c>
      <c r="L104" s="2">
        <f>$E104*$B$11+$B$10+'Станд.норм.распр.'!F97*$B$12+$C$1</f>
        <v>1065.0733314209356</v>
      </c>
      <c r="M104" s="2">
        <f>$E104*$B$11+$B$10+'Станд.норм.распр.'!G97*$B$12+$C$1</f>
        <v>1066.9598871858761</v>
      </c>
      <c r="N104" s="2">
        <f>$E104*$B$11+$B$10+'Станд.норм.распр.'!H97*$B$12+$C$1</f>
        <v>1068.3682522371237</v>
      </c>
      <c r="O104" s="2">
        <f>$E104*$B$11+$B$10+'Станд.норм.распр.'!I97*$B$12+$C$1</f>
        <v>1067.7134774427395</v>
      </c>
      <c r="P104" s="2">
        <f>$E104*$B$11+$B$10+'Станд.норм.распр.'!J97*$B$12+$C$1</f>
        <v>1063.8149511409574</v>
      </c>
      <c r="Q104" s="2">
        <f>$E104*$B$11+$B$10+'Станд.норм.распр.'!K97*$B$12+$C$1</f>
        <v>1062.9832273311331</v>
      </c>
    </row>
    <row r="105" spans="3:17" x14ac:dyDescent="0.35">
      <c r="C105" s="4" t="s">
        <v>104</v>
      </c>
      <c r="D105" s="4" t="s">
        <v>5</v>
      </c>
      <c r="E105" s="4">
        <v>802</v>
      </c>
      <c r="F105" s="4"/>
      <c r="G105" s="4" t="s">
        <v>5</v>
      </c>
      <c r="H105" s="2">
        <f>$E105*$B$11+$B$10+'Станд.норм.распр.'!B98*$B$12+$C$1</f>
        <v>901.00957459936035</v>
      </c>
      <c r="I105" s="2">
        <f>$E105*$B$11+$B$10+'Станд.норм.распр.'!C98*$B$12+$C$1</f>
        <v>909.9022568166256</v>
      </c>
      <c r="J105" s="2">
        <f>$E105*$B$11+$B$10+'Станд.норм.распр.'!D98*$B$12+$C$1</f>
        <v>904.10639382708177</v>
      </c>
      <c r="K105" s="2">
        <f>$E105*$B$11+$B$10+'Станд.норм.распр.'!E98*$B$12+$C$1</f>
        <v>903.68340478820028</v>
      </c>
      <c r="L105" s="2">
        <f>$E105*$B$11+$B$10+'Станд.норм.распр.'!F98*$B$12+$C$1</f>
        <v>904.55120391759556</v>
      </c>
      <c r="M105" s="2">
        <f>$E105*$B$11+$B$10+'Станд.норм.распр.'!G98*$B$12+$C$1</f>
        <v>908.31699390901485</v>
      </c>
      <c r="N105" s="2">
        <f>$E105*$B$11+$B$10+'Станд.норм.распр.'!H98*$B$12+$C$1</f>
        <v>907.15164470521268</v>
      </c>
      <c r="O105" s="2">
        <f>$E105*$B$11+$B$10+'Станд.норм.распр.'!I98*$B$12+$C$1</f>
        <v>902.75241428526351</v>
      </c>
      <c r="P105" s="2">
        <f>$E105*$B$11+$B$10+'Станд.норм.распр.'!J98*$B$12+$C$1</f>
        <v>901.70416479805135</v>
      </c>
      <c r="Q105" s="2">
        <f>$E105*$B$11+$B$10+'Станд.норм.распр.'!K98*$B$12+$C$1</f>
        <v>902.77714117246796</v>
      </c>
    </row>
    <row r="106" spans="3:17" x14ac:dyDescent="0.35">
      <c r="C106" s="4" t="s">
        <v>105</v>
      </c>
      <c r="D106" s="4" t="s">
        <v>5</v>
      </c>
      <c r="E106" s="4">
        <v>686</v>
      </c>
      <c r="F106" s="4"/>
      <c r="G106" s="4" t="s">
        <v>5</v>
      </c>
      <c r="H106" s="2">
        <f>$E106*$B$11+$B$10+'Станд.норм.распр.'!B99*$B$12+$C$1</f>
        <v>784.2996980684693</v>
      </c>
      <c r="I106" s="2">
        <f>$E106*$B$11+$B$10+'Станд.норм.распр.'!C99*$B$12+$C$1</f>
        <v>788.91967990556441</v>
      </c>
      <c r="J106" s="2">
        <f>$E106*$B$11+$B$10+'Станд.норм.распр.'!D99*$B$12+$C$1</f>
        <v>781.73829268733971</v>
      </c>
      <c r="K106" s="2">
        <f>$E106*$B$11+$B$10+'Станд.норм.распр.'!E99*$B$12+$C$1</f>
        <v>788.62586991589342</v>
      </c>
      <c r="L106" s="2">
        <f>$E106*$B$11+$B$10+'Станд.норм.распр.'!F99*$B$12+$C$1</f>
        <v>783.59790467174025</v>
      </c>
      <c r="M106" s="2">
        <f>$E106*$B$11+$B$10+'Станд.норм.распр.'!G99*$B$12+$C$1</f>
        <v>787.65372808219399</v>
      </c>
      <c r="N106" s="2">
        <f>$E106*$B$11+$B$10+'Станд.норм.распр.'!H99*$B$12+$C$1</f>
        <v>789.60677018357092</v>
      </c>
      <c r="O106" s="2">
        <f>$E106*$B$11+$B$10+'Станд.норм.распр.'!I99*$B$12+$C$1</f>
        <v>782.67558154719882</v>
      </c>
      <c r="P106" s="2">
        <f>$E106*$B$11+$B$10+'Станд.норм.распр.'!J99*$B$12+$C$1</f>
        <v>789.22235746857768</v>
      </c>
      <c r="Q106" s="2">
        <f>$E106*$B$11+$B$10+'Станд.норм.распр.'!K99*$B$12+$C$1</f>
        <v>785.25039060649578</v>
      </c>
    </row>
    <row r="107" spans="3:17" x14ac:dyDescent="0.35">
      <c r="C107" s="4" t="s">
        <v>106</v>
      </c>
      <c r="D107" s="4" t="s">
        <v>5</v>
      </c>
      <c r="E107" s="4">
        <v>256</v>
      </c>
      <c r="F107" s="4"/>
      <c r="G107" s="4" t="s">
        <v>5</v>
      </c>
      <c r="H107" s="2">
        <f>$E107*$B$11+$B$10+'Станд.норм.распр.'!B100*$B$12+$C$1</f>
        <v>354.66898474970367</v>
      </c>
      <c r="I107" s="2">
        <f>$E107*$B$11+$B$10+'Станд.норм.распр.'!C100*$B$12+$C$1</f>
        <v>366.55849066283554</v>
      </c>
      <c r="J107" s="2">
        <f>$E107*$B$11+$B$10+'Станд.норм.распр.'!D100*$B$12+$C$1</f>
        <v>360.44895090872888</v>
      </c>
      <c r="K107" s="2">
        <f>$E107*$B$11+$B$10+'Станд.норм.распр.'!E100*$B$12+$C$1</f>
        <v>357.42727754387306</v>
      </c>
      <c r="L107" s="2">
        <f>$E107*$B$11+$B$10+'Станд.норм.распр.'!F100*$B$12+$C$1</f>
        <v>353.98222530039493</v>
      </c>
      <c r="M107" s="2">
        <f>$E107*$B$11+$B$10+'Станд.норм.распр.'!G100*$B$12+$C$1</f>
        <v>355.19223978900118</v>
      </c>
      <c r="N107" s="2">
        <f>$E107*$B$11+$B$10+'Станд.норм.распр.'!H100*$B$12+$C$1</f>
        <v>357.68489760249213</v>
      </c>
      <c r="O107" s="2">
        <f>$E107*$B$11+$B$10+'Станд.норм.распр.'!I100*$B$12+$C$1</f>
        <v>360.01447392100818</v>
      </c>
      <c r="P107" s="2">
        <f>$E107*$B$11+$B$10+'Станд.норм.распр.'!J100*$B$12+$C$1</f>
        <v>352.25190253532492</v>
      </c>
      <c r="Q107" s="2">
        <f>$E107*$B$11+$B$10+'Станд.норм.распр.'!K100*$B$12+$C$1</f>
        <v>355.31712932771188</v>
      </c>
    </row>
    <row r="108" spans="3:17" x14ac:dyDescent="0.35">
      <c r="C108" s="4" t="s">
        <v>107</v>
      </c>
      <c r="D108" s="4" t="s">
        <v>5</v>
      </c>
      <c r="E108" s="4">
        <v>240</v>
      </c>
      <c r="F108" s="4"/>
      <c r="G108" s="4" t="s">
        <v>5</v>
      </c>
      <c r="H108" s="2">
        <f>$E108*$B$11+$B$10+'Станд.норм.распр.'!B101*$B$12+$C$1</f>
        <v>345.23044332617428</v>
      </c>
      <c r="I108" s="2">
        <f>$E108*$B$11+$B$10+'Станд.норм.распр.'!C101*$B$12+$C$1</f>
        <v>339.80888401801349</v>
      </c>
      <c r="J108" s="2">
        <f>$E108*$B$11+$B$10+'Станд.норм.распр.'!D101*$B$12+$C$1</f>
        <v>337.29595253686421</v>
      </c>
      <c r="K108" s="2">
        <f>$E108*$B$11+$B$10+'Станд.норм.распр.'!E101*$B$12+$C$1</f>
        <v>342.91270521807019</v>
      </c>
      <c r="L108" s="2">
        <f>$E108*$B$11+$B$10+'Станд.норм.распр.'!F101*$B$12+$C$1</f>
        <v>340.07435870025074</v>
      </c>
      <c r="M108" s="2">
        <f>$E108*$B$11+$B$10+'Станд.норм.распр.'!G101*$B$12+$C$1</f>
        <v>344.04509909357876</v>
      </c>
      <c r="N108" s="2">
        <f>$E108*$B$11+$B$10+'Станд.норм.распр.'!H101*$B$12+$C$1</f>
        <v>343.02563035397907</v>
      </c>
      <c r="O108" s="2">
        <f>$E108*$B$11+$B$10+'Станд.норм.распр.'!I101*$B$12+$C$1</f>
        <v>345.62344053428387</v>
      </c>
      <c r="P108" s="2">
        <f>$E108*$B$11+$B$10+'Станд.норм.распр.'!J101*$B$12+$C$1</f>
        <v>344.37256017499021</v>
      </c>
      <c r="Q108" s="2">
        <f>$E108*$B$11+$B$10+'Станд.норм.распр.'!K101*$B$12+$C$1</f>
        <v>342.37632617022609</v>
      </c>
    </row>
    <row r="109" spans="3:17" x14ac:dyDescent="0.35">
      <c r="C109" s="4" t="s">
        <v>108</v>
      </c>
      <c r="D109" s="4" t="s">
        <v>5</v>
      </c>
      <c r="E109" s="4">
        <v>629</v>
      </c>
      <c r="F109" s="4"/>
      <c r="G109" s="4" t="s">
        <v>5</v>
      </c>
      <c r="H109" s="2">
        <f>$E109*$B$11+$B$10+'Станд.норм.распр.'!B102*$B$12+$C$1</f>
        <v>735.98270001200001</v>
      </c>
      <c r="I109" s="2">
        <f>$E109*$B$11+$B$10+'Станд.норм.распр.'!C102*$B$12+$C$1</f>
        <v>730.31359184300004</v>
      </c>
      <c r="J109" s="2">
        <f>$E109*$B$11+$B$10+'Станд.норм.распр.'!D102*$B$12+$C$1</f>
        <v>725.56449305900003</v>
      </c>
      <c r="K109" s="2">
        <f>$E109*$B$11+$B$10+'Станд.норм.распр.'!E102*$B$12+$C$1</f>
        <v>735.361395152</v>
      </c>
      <c r="L109" s="2">
        <f>$E109*$B$11+$B$10+'Станд.норм.распр.'!F102*$B$12+$C$1</f>
        <v>727.65320633600004</v>
      </c>
      <c r="M109" s="2">
        <f>$E109*$B$11+$B$10+'Станд.норм.распр.'!G102*$B$12+$C$1</f>
        <v>728.19676534400003</v>
      </c>
      <c r="N109" s="2">
        <f>$E109*$B$11+$B$10+'Станд.норм.распр.'!H102*$B$12+$C$1</f>
        <v>733.88524258100006</v>
      </c>
      <c r="O109" s="2">
        <f>$E109*$B$11+$B$10+'Станд.норм.распр.'!I102*$B$12+$C$1</f>
        <v>731.38079303300003</v>
      </c>
      <c r="P109" s="2">
        <f>$E109*$B$11+$B$10+'Станд.норм.распр.'!J102*$B$12+$C$1</f>
        <v>725.83343600900002</v>
      </c>
      <c r="Q109" s="2">
        <f>$E109*$B$11+$B$10+'Станд.норм.распр.'!K102*$B$12+$C$1</f>
        <v>731.968141436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9"/>
  <sheetViews>
    <sheetView workbookViewId="0">
      <selection activeCell="G8" sqref="G8"/>
    </sheetView>
  </sheetViews>
  <sheetFormatPr defaultRowHeight="14.5" x14ac:dyDescent="0.35"/>
  <cols>
    <col min="1" max="1" width="17.81640625" customWidth="1"/>
  </cols>
  <sheetData>
    <row r="1" spans="1:33" x14ac:dyDescent="0.35">
      <c r="A1" s="3" t="s">
        <v>211</v>
      </c>
      <c r="B1" t="s">
        <v>229</v>
      </c>
      <c r="C1">
        <v>100</v>
      </c>
    </row>
    <row r="2" spans="1:33" x14ac:dyDescent="0.35">
      <c r="E2">
        <v>1</v>
      </c>
      <c r="H2">
        <v>2</v>
      </c>
      <c r="K2">
        <v>3</v>
      </c>
      <c r="N2">
        <v>4</v>
      </c>
      <c r="Q2">
        <v>5</v>
      </c>
      <c r="T2">
        <v>6</v>
      </c>
      <c r="W2">
        <v>7</v>
      </c>
      <c r="Z2">
        <v>8</v>
      </c>
      <c r="AC2">
        <v>9</v>
      </c>
      <c r="AF2">
        <v>10</v>
      </c>
    </row>
    <row r="3" spans="1:33" x14ac:dyDescent="0.35">
      <c r="E3" cm="1">
        <f t="array" ref="E3:F7">LINEST(H$10:H$109,$E$10:$E$109,1,1)</f>
        <v>1.0518884746544253</v>
      </c>
      <c r="F3">
        <v>-22.605987275200391</v>
      </c>
      <c r="H3" cm="1">
        <f t="array" ref="H3:I7">LINEST(I$10:I$109,$E$10:$E$109,1,1)</f>
        <v>0.98695237760111565</v>
      </c>
      <c r="I3">
        <v>12.736831491306134</v>
      </c>
      <c r="K3" cm="1">
        <f t="array" ref="K3:L7">LINEST(J$10:J$109,$E$10:$E$109,1,1)</f>
        <v>0.95766422301243526</v>
      </c>
      <c r="L3">
        <v>1.1443056552039366</v>
      </c>
      <c r="N3" s="5" cm="1">
        <f t="array" ref="N3:O7">LINEST(K$10:K$109,$E$10:$E$109,1,1)</f>
        <v>0.90730983245550467</v>
      </c>
      <c r="O3">
        <v>40.679836056833437</v>
      </c>
      <c r="Q3" s="5" cm="1">
        <f t="array" ref="Q3:R7">LINEST(L$10:L$109,$E$10:$E$109,1,1)</f>
        <v>0.95826368494054248</v>
      </c>
      <c r="R3">
        <v>11.767664105341112</v>
      </c>
      <c r="T3" s="5" cm="1">
        <f t="array" ref="T3:U7">LINEST(M$10:M$109,$E$10:$E$109,1,1)</f>
        <v>0.90390692659428429</v>
      </c>
      <c r="U3">
        <v>43.539341636566235</v>
      </c>
      <c r="W3" cm="1">
        <f t="array" ref="W3:X7">LINEST(N$10:N$109,$E$10:$E$109,1,1)</f>
        <v>1.0123311032692708</v>
      </c>
      <c r="X3">
        <v>-16.821722383079418</v>
      </c>
      <c r="Z3" cm="1">
        <f t="array" ref="Z3:AA7">LINEST(O$10:O$109,$E$10:$E$109,1,1)</f>
        <v>0.94692750725847563</v>
      </c>
      <c r="AA3">
        <v>31.715931486042166</v>
      </c>
      <c r="AC3" cm="1">
        <f t="array" ref="AC3:AD7">LINEST(P$10:P$109,$E$10:$E$109,1,1)</f>
        <v>1.0660894734007038</v>
      </c>
      <c r="AD3">
        <v>-28.975468014091007</v>
      </c>
      <c r="AF3" cm="1">
        <f t="array" ref="AF3:AG7">LINEST(Q$10:Q$109,$E$10:$E$109,1,1)</f>
        <v>0.94309472792384741</v>
      </c>
      <c r="AG3">
        <v>30.45023773189024</v>
      </c>
    </row>
    <row r="4" spans="1:33" x14ac:dyDescent="0.35">
      <c r="E4">
        <v>6.495343395825845E-2</v>
      </c>
      <c r="F4">
        <v>38.905134974167602</v>
      </c>
      <c r="H4">
        <v>6.9164685507564896E-2</v>
      </c>
      <c r="I4">
        <v>41.427546799864587</v>
      </c>
      <c r="K4">
        <v>6.9392606375612093E-2</v>
      </c>
      <c r="L4">
        <v>41.564064480215471</v>
      </c>
      <c r="N4">
        <v>5.6451596146013881E-2</v>
      </c>
      <c r="O4">
        <v>33.812792237886413</v>
      </c>
      <c r="Q4">
        <v>5.1610419016206291E-2</v>
      </c>
      <c r="R4">
        <v>30.913074113821473</v>
      </c>
      <c r="T4">
        <v>6.5199549283319044E-2</v>
      </c>
      <c r="U4">
        <v>39.052550581891232</v>
      </c>
      <c r="W4">
        <v>5.8588628867225011E-2</v>
      </c>
      <c r="X4">
        <v>35.0928099582176</v>
      </c>
      <c r="Z4">
        <v>6.6670319870436964E-2</v>
      </c>
      <c r="AA4">
        <v>39.933497511419709</v>
      </c>
      <c r="AC4">
        <v>6.4445370807274568E-2</v>
      </c>
      <c r="AD4">
        <v>38.600820571373568</v>
      </c>
      <c r="AF4">
        <v>4.8910360807056047E-2</v>
      </c>
      <c r="AG4">
        <v>29.295821219500194</v>
      </c>
    </row>
    <row r="5" spans="1:33" x14ac:dyDescent="0.35">
      <c r="A5" s="3" t="s">
        <v>230</v>
      </c>
      <c r="E5">
        <v>0.7279756560981484</v>
      </c>
      <c r="F5">
        <v>178.74589046378813</v>
      </c>
      <c r="H5">
        <v>0.67508944933966619</v>
      </c>
      <c r="I5">
        <v>190.33486832493602</v>
      </c>
      <c r="K5">
        <v>0.66026296770849835</v>
      </c>
      <c r="L5">
        <v>190.96208564096827</v>
      </c>
      <c r="N5">
        <v>0.72496666709307511</v>
      </c>
      <c r="O5">
        <v>155.34961288891878</v>
      </c>
      <c r="Q5">
        <v>0.77865256086163126</v>
      </c>
      <c r="R5">
        <v>142.02713762892739</v>
      </c>
      <c r="T5">
        <v>0.66230436281761407</v>
      </c>
      <c r="U5">
        <v>179.42317725609249</v>
      </c>
      <c r="W5">
        <v>0.75286909760133103</v>
      </c>
      <c r="X5">
        <v>161.230530854682</v>
      </c>
      <c r="Z5">
        <v>0.6730380039054118</v>
      </c>
      <c r="AA5">
        <v>183.47060296158</v>
      </c>
      <c r="AC5">
        <v>0.73631480244872227</v>
      </c>
      <c r="AD5">
        <v>177.34774728951328</v>
      </c>
      <c r="AF5">
        <v>0.79140041184568621</v>
      </c>
      <c r="AG5">
        <v>134.59682518064676</v>
      </c>
    </row>
    <row r="6" spans="1:33" x14ac:dyDescent="0.35">
      <c r="E6">
        <v>262.26187433930232</v>
      </c>
      <c r="F6">
        <v>98</v>
      </c>
      <c r="H6">
        <v>203.62147643660424</v>
      </c>
      <c r="I6">
        <v>98</v>
      </c>
      <c r="K6">
        <v>190.45839777605966</v>
      </c>
      <c r="L6">
        <v>98</v>
      </c>
      <c r="N6">
        <v>258.32044655897977</v>
      </c>
      <c r="O6">
        <v>98</v>
      </c>
      <c r="Q6">
        <v>344.74286787089608</v>
      </c>
      <c r="R6">
        <v>98</v>
      </c>
      <c r="T6">
        <v>192.20215013044785</v>
      </c>
      <c r="U6">
        <v>98</v>
      </c>
      <c r="W6">
        <v>298.55097379083509</v>
      </c>
      <c r="X6">
        <v>98</v>
      </c>
      <c r="Z6">
        <v>201.72902407792117</v>
      </c>
      <c r="AA6">
        <v>98</v>
      </c>
      <c r="AC6">
        <v>273.65529544350841</v>
      </c>
      <c r="AD6">
        <v>98</v>
      </c>
      <c r="AF6">
        <v>371.79958525854551</v>
      </c>
      <c r="AG6">
        <v>98</v>
      </c>
    </row>
    <row r="7" spans="1:33" x14ac:dyDescent="0.35">
      <c r="E7">
        <v>8379291.369304141</v>
      </c>
      <c r="F7">
        <v>3131109.1490538693</v>
      </c>
      <c r="H7">
        <v>7376668.958260607</v>
      </c>
      <c r="I7">
        <v>3550281.4858265319</v>
      </c>
      <c r="K7">
        <v>6945354.6197678903</v>
      </c>
      <c r="L7">
        <v>3573718.7789301528</v>
      </c>
      <c r="N7">
        <v>6234177.0717261732</v>
      </c>
      <c r="O7">
        <v>2365083.218024218</v>
      </c>
      <c r="Q7">
        <v>6954052.404777661</v>
      </c>
      <c r="R7">
        <v>1976827.3666604958</v>
      </c>
      <c r="T7">
        <v>6187501.6488022199</v>
      </c>
      <c r="U7">
        <v>3154882.3005937757</v>
      </c>
      <c r="W7">
        <v>7760917.3759586215</v>
      </c>
      <c r="X7">
        <v>2547537.8398088911</v>
      </c>
      <c r="Z7">
        <v>6790493.9087744057</v>
      </c>
      <c r="AA7">
        <v>3298823.290806402</v>
      </c>
      <c r="AC7">
        <v>8607067.5056727864</v>
      </c>
      <c r="AD7">
        <v>3082317.8999291761</v>
      </c>
      <c r="AF7">
        <v>6735634.8150673918</v>
      </c>
      <c r="AG7">
        <v>1775397.924173539</v>
      </c>
    </row>
    <row r="8" spans="1:33" x14ac:dyDescent="0.35">
      <c r="E8">
        <f>ABS(F3)/F4</f>
        <v>0.5810540765431198</v>
      </c>
      <c r="F8">
        <f>F7/(E7/F6)</f>
        <v>36.619886227057108</v>
      </c>
      <c r="H8">
        <f>ABS(I3)/I4</f>
        <v>0.3074483640761409</v>
      </c>
      <c r="I8">
        <f>I7/(H7/I6)</f>
        <v>47.165948150808745</v>
      </c>
      <c r="K8">
        <f>ABS(L3)/L4</f>
        <v>2.7531129823663587E-2</v>
      </c>
      <c r="L8">
        <f>L7/(K7/L6)</f>
        <v>50.425710350101497</v>
      </c>
      <c r="N8">
        <f>ABS(O3)/O4</f>
        <v>1.2030901136656993</v>
      </c>
      <c r="O8">
        <f>O7/(N7/O6)</f>
        <v>37.178628822969351</v>
      </c>
      <c r="Q8">
        <f>ABS(R3)/R4</f>
        <v>0.38066948832111452</v>
      </c>
      <c r="R8">
        <f>R7/(Q7/R6)</f>
        <v>27.858444351042046</v>
      </c>
      <c r="T8">
        <f>ABS(U3)/U4</f>
        <v>1.1148911143528621</v>
      </c>
      <c r="U8">
        <f>U7/(T7/U6)</f>
        <v>49.968223526540953</v>
      </c>
      <c r="W8">
        <f>ABS(X3)/X4</f>
        <v>0.47934954206026226</v>
      </c>
      <c r="X8">
        <f>X7/(W7/X6)</f>
        <v>32.168711017933461</v>
      </c>
      <c r="Z8">
        <f>ABS(AA3)/AA4</f>
        <v>0.79421872519361514</v>
      </c>
      <c r="AA8">
        <f>AA7/(Z7/AA6)</f>
        <v>47.608419482019094</v>
      </c>
      <c r="AC8">
        <f>ABS(AD3)/AD4</f>
        <v>0.75064383567999227</v>
      </c>
      <c r="AD8">
        <f>AD7/(AC7/AD6)</f>
        <v>35.095246318676068</v>
      </c>
      <c r="AF8">
        <f>ABS(AG3)/AG4</f>
        <v>1.039405501000997</v>
      </c>
      <c r="AG8">
        <f>AG7/(AF7/AG6)</f>
        <v>25.831120799452961</v>
      </c>
    </row>
    <row r="9" spans="1:33" x14ac:dyDescent="0.35">
      <c r="A9" s="3" t="s">
        <v>1</v>
      </c>
      <c r="B9" s="3" t="s">
        <v>217</v>
      </c>
      <c r="C9" s="3"/>
      <c r="D9" s="3"/>
      <c r="E9" s="3"/>
      <c r="F9" s="3"/>
      <c r="G9" s="3"/>
      <c r="H9" s="3">
        <v>1</v>
      </c>
      <c r="I9" s="3">
        <v>2</v>
      </c>
      <c r="J9" s="3">
        <v>3</v>
      </c>
      <c r="K9" s="3">
        <v>4</v>
      </c>
      <c r="L9" s="3">
        <v>5</v>
      </c>
      <c r="M9" s="3">
        <v>6</v>
      </c>
      <c r="N9" s="3">
        <v>7</v>
      </c>
      <c r="O9" s="3">
        <v>8</v>
      </c>
      <c r="P9" s="3">
        <v>9</v>
      </c>
      <c r="Q9" s="3">
        <v>10</v>
      </c>
    </row>
    <row r="10" spans="1:33" x14ac:dyDescent="0.35">
      <c r="A10" s="1" t="s">
        <v>2</v>
      </c>
      <c r="B10" s="2">
        <v>2</v>
      </c>
      <c r="C10" s="4" t="s">
        <v>9</v>
      </c>
      <c r="D10" s="4" t="s">
        <v>5</v>
      </c>
      <c r="E10" s="4">
        <v>212</v>
      </c>
      <c r="F10" s="4" t="s">
        <v>216</v>
      </c>
      <c r="G10" s="4" t="s">
        <v>5</v>
      </c>
      <c r="H10" s="2">
        <f>$E10*$B$11+$B$10+'Станд.норм.распр.'!B3*$B$12*$R10</f>
        <v>213.91564891388407</v>
      </c>
      <c r="I10" s="2">
        <f>$E10*$B$11+$B$10+'Станд.норм.распр.'!C3*$B$12*$R10</f>
        <v>208.89485617232276</v>
      </c>
      <c r="J10" s="2">
        <f>$E10*$B$11+$B$10+'Станд.норм.распр.'!D3*$B$12*$R10</f>
        <v>212.37545374248293</v>
      </c>
      <c r="K10" s="2">
        <f>$E10*$B$11+$B$10+'Станд.норм.распр.'!E3*$B$12*$R10</f>
        <v>215.19771243589639</v>
      </c>
      <c r="L10" s="2">
        <f>$E10*$B$11+$B$10+'Станд.норм.распр.'!F3*$B$12*$R10</f>
        <v>211.17976141558029</v>
      </c>
      <c r="M10" s="2">
        <f>$E10*$B$11+$B$10+'Станд.норм.распр.'!G3*$B$12*$R10</f>
        <v>215.14471163215057</v>
      </c>
      <c r="N10" s="2">
        <f>$E10*$B$11+$B$10+'Станд.норм.распр.'!H3*$B$12*$R10</f>
        <v>216.64779600911424</v>
      </c>
      <c r="O10" s="2">
        <f>$E10*$B$11+$B$10+'Станд.норм.распр.'!I3*$B$12*$R10</f>
        <v>207.63319147960283</v>
      </c>
      <c r="P10" s="2">
        <f>$E10*$B$11+$B$10+'Станд.норм.распр.'!J3*$B$12*$R10</f>
        <v>216.43456497628358</v>
      </c>
      <c r="Q10" s="2">
        <f>$E10*$B$11+$B$10+'Станд.норм.распр.'!K3*$B$12*$R10</f>
        <v>211.16007778260973</v>
      </c>
      <c r="R10">
        <v>1</v>
      </c>
    </row>
    <row r="11" spans="1:33" x14ac:dyDescent="0.35">
      <c r="A11" s="1" t="s">
        <v>3</v>
      </c>
      <c r="B11" s="2">
        <v>1</v>
      </c>
      <c r="C11" s="4" t="s">
        <v>10</v>
      </c>
      <c r="D11" s="4" t="s">
        <v>5</v>
      </c>
      <c r="E11" s="4">
        <v>780</v>
      </c>
      <c r="F11" s="4"/>
      <c r="G11" s="4" t="s">
        <v>5</v>
      </c>
      <c r="H11" s="2">
        <f>$E11*$B$11+$B$10+'Станд.норм.распр.'!B4*$B$12*$R11</f>
        <v>781.19736183073837</v>
      </c>
      <c r="I11" s="2">
        <f>$E11*$B$11+$B$10+'Станд.норм.распр.'!C4*$B$12*$R11</f>
        <v>794.35419404110871</v>
      </c>
      <c r="J11" s="2">
        <f>$E11*$B$11+$B$10+'Станд.норм.распр.'!D4*$B$12*$R11</f>
        <v>794.26017047883943</v>
      </c>
      <c r="K11" s="2">
        <f>$E11*$B$11+$B$10+'Станд.норм.распр.'!E4*$B$12*$R11</f>
        <v>789.81912603997625</v>
      </c>
      <c r="L11" s="2">
        <f>$E11*$B$11+$B$10+'Станд.норм.распр.'!F4*$B$12*$R11</f>
        <v>786.70693521492649</v>
      </c>
      <c r="M11" s="2">
        <f>$E11*$B$11+$B$10+'Станд.норм.распр.'!G4*$B$12*$R11</f>
        <v>776.50637460540747</v>
      </c>
      <c r="N11" s="2">
        <f>$E11*$B$11+$B$10+'Станд.норм.распр.'!H4*$B$12*$R11</f>
        <v>776.85474269627593</v>
      </c>
      <c r="O11" s="2">
        <f>$E11*$B$11+$B$10+'Станд.норм.распр.'!I4*$B$12*$R11</f>
        <v>785.9095493775676</v>
      </c>
      <c r="P11" s="2">
        <f>$E11*$B$11+$B$10+'Станд.норм.распр.'!J4*$B$12*$R11</f>
        <v>782.28123849915573</v>
      </c>
      <c r="Q11" s="2">
        <f>$E11*$B$11+$B$10+'Станд.норм.распр.'!K4*$B$12*$R11</f>
        <v>786.22138782596448</v>
      </c>
      <c r="R11">
        <v>2</v>
      </c>
    </row>
    <row r="12" spans="1:33" x14ac:dyDescent="0.35">
      <c r="A12" s="1" t="s">
        <v>4</v>
      </c>
      <c r="B12" s="2">
        <v>3</v>
      </c>
      <c r="C12" s="4" t="s">
        <v>11</v>
      </c>
      <c r="D12" s="4" t="s">
        <v>5</v>
      </c>
      <c r="E12" s="4">
        <v>280</v>
      </c>
      <c r="F12" s="4"/>
      <c r="G12" s="4" t="s">
        <v>5</v>
      </c>
      <c r="H12" s="2">
        <f>$E12*$B$11+$B$10+'Станд.норм.распр.'!B5*$B$12*$R12</f>
        <v>276.25265627905901</v>
      </c>
      <c r="I12" s="2">
        <f>$E12*$B$11+$B$10+'Станд.норм.распр.'!C5*$B$12*$R12</f>
        <v>278.53251961717615</v>
      </c>
      <c r="J12" s="2">
        <f>$E12*$B$11+$B$10+'Станд.норм.распр.'!D5*$B$12*$R12</f>
        <v>290.41259861772414</v>
      </c>
      <c r="K12" s="2">
        <f>$E12*$B$11+$B$10+'Станд.норм.распр.'!E5*$B$12*$R12</f>
        <v>300.71276253950782</v>
      </c>
      <c r="L12" s="2">
        <f>$E12*$B$11+$B$10+'Станд.норм.распр.'!F5*$B$12*$R12</f>
        <v>285.36019979840785</v>
      </c>
      <c r="M12" s="2">
        <f>$E12*$B$11+$B$10+'Станд.норм.распр.'!G5*$B$12*$R12</f>
        <v>281.53609972180857</v>
      </c>
      <c r="N12" s="2">
        <f>$E12*$B$11+$B$10+'Станд.норм.распр.'!H5*$B$12*$R12</f>
        <v>293.68192252406152</v>
      </c>
      <c r="O12" s="2">
        <f>$E12*$B$11+$B$10+'Станд.норм.распр.'!I5*$B$12*$R12</f>
        <v>271.85896127123851</v>
      </c>
      <c r="P12" s="2">
        <f>$E12*$B$11+$B$10+'Станд.норм.распр.'!J5*$B$12*$R12</f>
        <v>272.88040340211592</v>
      </c>
      <c r="Q12" s="2">
        <f>$E12*$B$11+$B$10+'Станд.норм.распр.'!K5*$B$12*$R12</f>
        <v>275.68378780673083</v>
      </c>
      <c r="R12">
        <v>3</v>
      </c>
    </row>
    <row r="13" spans="1:33" x14ac:dyDescent="0.35">
      <c r="C13" s="4" t="s">
        <v>12</v>
      </c>
      <c r="D13" s="4" t="s">
        <v>5</v>
      </c>
      <c r="E13" s="4">
        <v>888</v>
      </c>
      <c r="F13" s="4"/>
      <c r="G13" s="4" t="s">
        <v>5</v>
      </c>
      <c r="H13" s="2">
        <f>$E13*$B$11+$B$10+'Станд.норм.распр.'!B6*$B$12*$R13</f>
        <v>879.28355125826783</v>
      </c>
      <c r="I13" s="2">
        <f>$E13*$B$11+$B$10+'Станд.норм.распр.'!C6*$B$12*$R13</f>
        <v>915.72633093222976</v>
      </c>
      <c r="J13" s="2">
        <f>$E13*$B$11+$B$10+'Станд.норм.распр.'!D6*$B$12*$R13</f>
        <v>889.66627910907846</v>
      </c>
      <c r="K13" s="2">
        <f>$E13*$B$11+$B$10+'Станд.норм.распр.'!E6*$B$12*$R13</f>
        <v>886.34339474141598</v>
      </c>
      <c r="L13" s="2">
        <f>$E13*$B$11+$B$10+'Станд.норм.распр.'!F6*$B$12*$R13</f>
        <v>893.83586666430347</v>
      </c>
      <c r="M13" s="2">
        <f>$E13*$B$11+$B$10+'Станд.норм.распр.'!G6*$B$12*$R13</f>
        <v>893.49824404111132</v>
      </c>
      <c r="N13" s="2">
        <f>$E13*$B$11+$B$10+'Станд.норм.распр.'!H6*$B$12*$R13</f>
        <v>916.948910090141</v>
      </c>
      <c r="O13" s="2">
        <f>$E13*$B$11+$B$10+'Станд.норм.распр.'!I6*$B$12*$R13</f>
        <v>893.72686372429598</v>
      </c>
      <c r="P13" s="2">
        <f>$E13*$B$11+$B$10+'Станд.норм.распр.'!J6*$B$12*$R13</f>
        <v>890.82544829638209</v>
      </c>
      <c r="Q13" s="2">
        <f>$E13*$B$11+$B$10+'Станд.норм.распр.'!K6*$B$12*$R13</f>
        <v>890.53030817070976</v>
      </c>
      <c r="R13">
        <v>4</v>
      </c>
    </row>
    <row r="14" spans="1:33" x14ac:dyDescent="0.35">
      <c r="C14" s="4" t="s">
        <v>13</v>
      </c>
      <c r="D14" s="4" t="s">
        <v>5</v>
      </c>
      <c r="E14" s="4">
        <v>314</v>
      </c>
      <c r="F14" s="4"/>
      <c r="G14" s="4" t="s">
        <v>5</v>
      </c>
      <c r="H14" s="2">
        <f>$E14*$B$11+$B$10+'Станд.норм.распр.'!B7*$B$12*$R14</f>
        <v>316.06023128662491</v>
      </c>
      <c r="I14" s="2">
        <f>$E14*$B$11+$B$10+'Станд.норм.распр.'!C7*$B$12*$R14</f>
        <v>317.0387168458692</v>
      </c>
      <c r="J14" s="2">
        <f>$E14*$B$11+$B$10+'Станд.норм.распр.'!D7*$B$12*$R14</f>
        <v>322.94571440362779</v>
      </c>
      <c r="K14" s="2">
        <f>$E14*$B$11+$B$10+'Станд.норм.распр.'!E7*$B$12*$R14</f>
        <v>315.44622004477424</v>
      </c>
      <c r="L14" s="2">
        <f>$E14*$B$11+$B$10+'Станд.норм.распр.'!F7*$B$12*$R14</f>
        <v>319.19387822855788</v>
      </c>
      <c r="M14" s="2">
        <f>$E14*$B$11+$B$10+'Станд.норм.распр.'!G7*$B$12*$R14</f>
        <v>314.67811766307568</v>
      </c>
      <c r="N14" s="2">
        <f>$E14*$B$11+$B$10+'Станд.норм.распр.'!H7*$B$12*$R14</f>
        <v>312.00181581627112</v>
      </c>
      <c r="O14" s="2">
        <f>$E14*$B$11+$B$10+'Станд.норм.распр.'!I7*$B$12*$R14</f>
        <v>321.49833885088447</v>
      </c>
      <c r="P14" s="2">
        <f>$E14*$B$11+$B$10+'Станд.норм.распр.'!J7*$B$12*$R14</f>
        <v>316.63721525599237</v>
      </c>
      <c r="Q14" s="2">
        <f>$E14*$B$11+$B$10+'Станд.норм.распр.'!K7*$B$12*$R14</f>
        <v>339.02274424437201</v>
      </c>
      <c r="R14">
        <v>5</v>
      </c>
    </row>
    <row r="15" spans="1:33" x14ac:dyDescent="0.35">
      <c r="C15" s="4" t="s">
        <v>14</v>
      </c>
      <c r="D15" s="4" t="s">
        <v>5</v>
      </c>
      <c r="E15" s="4">
        <v>780</v>
      </c>
      <c r="F15" s="4"/>
      <c r="G15" s="4" t="s">
        <v>5</v>
      </c>
      <c r="H15" s="2">
        <f>$E15*$B$11+$B$10+'Станд.норм.распр.'!B8*$B$12*$R15</f>
        <v>767.09973465843359</v>
      </c>
      <c r="I15" s="2">
        <f>$E15*$B$11+$B$10+'Станд.норм.распр.'!C8*$B$12*$R15</f>
        <v>749.20015587925445</v>
      </c>
      <c r="J15" s="2">
        <f>$E15*$B$11+$B$10+'Станд.норм.распр.'!D8*$B$12*$R15</f>
        <v>792.41903715304215</v>
      </c>
      <c r="K15" s="2">
        <f>$E15*$B$11+$B$10+'Станд.норм.распр.'!E8*$B$12*$R15</f>
        <v>765.03790107456734</v>
      </c>
      <c r="L15" s="2">
        <f>$E15*$B$11+$B$10+'Станд.норм.распр.'!F8*$B$12*$R15</f>
        <v>792.84199993783841</v>
      </c>
      <c r="M15" s="2">
        <f>$E15*$B$11+$B$10+'Станд.норм.распр.'!G8*$B$12*$R15</f>
        <v>785.43774672728614</v>
      </c>
      <c r="N15" s="2">
        <f>$E15*$B$11+$B$10+'Станд.норм.распр.'!H8*$B$12*$R15</f>
        <v>778.23070152665605</v>
      </c>
      <c r="O15" s="2">
        <f>$E15*$B$11+$B$10+'Станд.норм.распр.'!I8*$B$12*$R15</f>
        <v>767.65519945259439</v>
      </c>
      <c r="P15" s="2">
        <f>$E15*$B$11+$B$10+'Станд.норм.распр.'!J8*$B$12*$R15</f>
        <v>766.85985997831449</v>
      </c>
      <c r="Q15" s="2">
        <f>$E15*$B$11+$B$10+'Станд.норм.распр.'!K8*$B$12*$R15</f>
        <v>798.50813373998972</v>
      </c>
      <c r="R15">
        <v>6</v>
      </c>
    </row>
    <row r="16" spans="1:33" x14ac:dyDescent="0.35">
      <c r="C16" s="4" t="s">
        <v>15</v>
      </c>
      <c r="D16" s="4" t="s">
        <v>5</v>
      </c>
      <c r="E16" s="4">
        <v>993</v>
      </c>
      <c r="F16" s="4"/>
      <c r="G16" s="4" t="s">
        <v>5</v>
      </c>
      <c r="H16" s="2">
        <f>$E16*$B$11+$B$10+'Станд.норм.распр.'!B9*$B$12*$R16</f>
        <v>1022.2025431513612</v>
      </c>
      <c r="I16" s="2">
        <f>$E16*$B$11+$B$10+'Станд.норм.распр.'!C9*$B$12*$R16</f>
        <v>975.73807546461467</v>
      </c>
      <c r="J16" s="2">
        <f>$E16*$B$11+$B$10+'Станд.норм.распр.'!D9*$B$12*$R16</f>
        <v>1013.9411980500154</v>
      </c>
      <c r="K16" s="2">
        <f>$E16*$B$11+$B$10+'Станд.норм.распр.'!E9*$B$12*$R16</f>
        <v>1018.9249447986367</v>
      </c>
      <c r="L16" s="2">
        <f>$E16*$B$11+$B$10+'Станд.норм.распр.'!F9*$B$12*$R16</f>
        <v>1000.306693537932</v>
      </c>
      <c r="M16" s="2">
        <f>$E16*$B$11+$B$10+'Станд.норм.распр.'!G9*$B$12*$R16</f>
        <v>993.47331423552532</v>
      </c>
      <c r="N16" s="2">
        <f>$E16*$B$11+$B$10+'Станд.норм.распр.'!H9*$B$12*$R16</f>
        <v>1007.098603292543</v>
      </c>
      <c r="O16" s="2">
        <f>$E16*$B$11+$B$10+'Станд.норм.распр.'!I9*$B$12*$R16</f>
        <v>1007.9332704545959</v>
      </c>
      <c r="P16" s="2">
        <f>$E16*$B$11+$B$10+'Станд.норм.распр.'!J9*$B$12*$R16</f>
        <v>1010.6117926053412</v>
      </c>
      <c r="Q16" s="2">
        <f>$E16*$B$11+$B$10+'Станд.норм.распр.'!K9*$B$12*$R16</f>
        <v>999.14494934375398</v>
      </c>
      <c r="R16">
        <v>7</v>
      </c>
    </row>
    <row r="17" spans="3:18" x14ac:dyDescent="0.35">
      <c r="C17" s="4" t="s">
        <v>16</v>
      </c>
      <c r="D17" s="4" t="s">
        <v>5</v>
      </c>
      <c r="E17" s="4">
        <v>326</v>
      </c>
      <c r="F17" s="4"/>
      <c r="G17" s="4" t="s">
        <v>5</v>
      </c>
      <c r="H17" s="2">
        <f>$E17*$B$11+$B$10+'Станд.норм.распр.'!B10*$B$12*$R17</f>
        <v>335.98930159362499</v>
      </c>
      <c r="I17" s="2">
        <f>$E17*$B$11+$B$10+'Станд.норм.распр.'!C10*$B$12*$R17</f>
        <v>276.0998667422682</v>
      </c>
      <c r="J17" s="2">
        <f>$E17*$B$11+$B$10+'Станд.норм.распр.'!D10*$B$12*$R17</f>
        <v>310.54768797778524</v>
      </c>
      <c r="K17" s="2">
        <f>$E17*$B$11+$B$10+'Станд.норм.распр.'!E10*$B$12*$R17</f>
        <v>338.69584868673701</v>
      </c>
      <c r="L17" s="2">
        <f>$E17*$B$11+$B$10+'Станд.норм.распр.'!F10*$B$12*$R17</f>
        <v>328.58847945183516</v>
      </c>
      <c r="M17" s="2">
        <f>$E17*$B$11+$B$10+'Станд.норм.распр.'!G10*$B$12*$R17</f>
        <v>371.34295226726681</v>
      </c>
      <c r="N17" s="2">
        <f>$E17*$B$11+$B$10+'Станд.норм.распр.'!H10*$B$12*$R17</f>
        <v>361.24728822917677</v>
      </c>
      <c r="O17" s="2">
        <f>$E17*$B$11+$B$10+'Станд.норм.распр.'!I10*$B$12*$R17</f>
        <v>334.98691110301297</v>
      </c>
      <c r="P17" s="2">
        <f>$E17*$B$11+$B$10+'Станд.норм.распр.'!J10*$B$12*$R17</f>
        <v>347.93754352349777</v>
      </c>
      <c r="Q17" s="2">
        <f>$E17*$B$11+$B$10+'Станд.норм.распр.'!K10*$B$12*$R17</f>
        <v>300.96759829623625</v>
      </c>
      <c r="R17">
        <v>8</v>
      </c>
    </row>
    <row r="18" spans="3:18" x14ac:dyDescent="0.35">
      <c r="C18" s="4" t="s">
        <v>17</v>
      </c>
      <c r="D18" s="4" t="s">
        <v>5</v>
      </c>
      <c r="E18" s="4">
        <v>906</v>
      </c>
      <c r="F18" s="4"/>
      <c r="G18" s="4" t="s">
        <v>5</v>
      </c>
      <c r="H18" s="2">
        <f>$E18*$B$11+$B$10+'Станд.норм.распр.'!B11*$B$12*$R18</f>
        <v>926.78254352050135</v>
      </c>
      <c r="I18" s="2">
        <f>$E18*$B$11+$B$10+'Станд.норм.распр.'!C11*$B$12*$R18</f>
        <v>900.5654401522479</v>
      </c>
      <c r="J18" s="2">
        <f>$E18*$B$11+$B$10+'Станд.норм.распр.'!D11*$B$12*$R18</f>
        <v>889.83348338898213</v>
      </c>
      <c r="K18" s="2">
        <f>$E18*$B$11+$B$10+'Станд.норм.распр.'!E11*$B$12*$R18</f>
        <v>909.18699290396762</v>
      </c>
      <c r="L18" s="2">
        <f>$E18*$B$11+$B$10+'Станд.норм.распр.'!F11*$B$12*$R18</f>
        <v>901.36674477490317</v>
      </c>
      <c r="M18" s="2">
        <f>$E18*$B$11+$B$10+'Станд.норм.распр.'!G11*$B$12*$R18</f>
        <v>936.86826905523776</v>
      </c>
      <c r="N18" s="2">
        <f>$E18*$B$11+$B$10+'Станд.норм.распр.'!H11*$B$12*$R18</f>
        <v>943.77873485482996</v>
      </c>
      <c r="O18" s="2">
        <f>$E18*$B$11+$B$10+'Станд.норм.распр.'!I11*$B$12*$R18</f>
        <v>929.53426748918719</v>
      </c>
      <c r="P18" s="2">
        <f>$E18*$B$11+$B$10+'Станд.норм.распр.'!J11*$B$12*$R18</f>
        <v>938.57561116293073</v>
      </c>
      <c r="Q18" s="2">
        <f>$E18*$B$11+$B$10+'Станд.норм.распр.'!K11*$B$12*$R18</f>
        <v>917.25473841562052</v>
      </c>
      <c r="R18">
        <v>9</v>
      </c>
    </row>
    <row r="19" spans="3:18" x14ac:dyDescent="0.35">
      <c r="C19" s="4" t="s">
        <v>18</v>
      </c>
      <c r="D19" s="4" t="s">
        <v>5</v>
      </c>
      <c r="E19" s="4">
        <v>790</v>
      </c>
      <c r="F19" s="4"/>
      <c r="G19" s="4" t="s">
        <v>5</v>
      </c>
      <c r="H19" s="2">
        <f>$E19*$B$11+$B$10+'Станд.норм.распр.'!B12*$B$12*$R19</f>
        <v>799.96546828496503</v>
      </c>
      <c r="I19" s="2">
        <f>$E19*$B$11+$B$10+'Станд.норм.распр.'!C12*$B$12*$R19</f>
        <v>727.63860698486678</v>
      </c>
      <c r="J19" s="2">
        <f>$E19*$B$11+$B$10+'Станд.норм.распр.'!D12*$B$12*$R19</f>
        <v>807.30986537545687</v>
      </c>
      <c r="K19" s="2">
        <f>$E19*$B$11+$B$10+'Станд.норм.распр.'!E12*$B$12*$R19</f>
        <v>837.05000106291845</v>
      </c>
      <c r="L19" s="2">
        <f>$E19*$B$11+$B$10+'Станд.норм.распр.'!F12*$B$12*$R19</f>
        <v>809.15111466182861</v>
      </c>
      <c r="M19" s="2">
        <f>$E19*$B$11+$B$10+'Станд.норм.распр.'!G12*$B$12*$R19</f>
        <v>819.82958290481474</v>
      </c>
      <c r="N19" s="2">
        <f>$E19*$B$11+$B$10+'Станд.норм.распр.'!H12*$B$12*$R19</f>
        <v>869.65047485008836</v>
      </c>
      <c r="O19" s="2">
        <f>$E19*$B$11+$B$10+'Станд.норм.распр.'!I12*$B$12*$R19</f>
        <v>827.84245860110968</v>
      </c>
      <c r="P19" s="2">
        <f>$E19*$B$11+$B$10+'Станд.норм.распр.'!J12*$B$12*$R19</f>
        <v>794.86040631181095</v>
      </c>
      <c r="Q19" s="2">
        <f>$E19*$B$11+$B$10+'Станд.норм.распр.'!K12*$B$12*$R19</f>
        <v>783.18972482392564</v>
      </c>
      <c r="R19">
        <v>10</v>
      </c>
    </row>
    <row r="20" spans="3:18" x14ac:dyDescent="0.35">
      <c r="C20" s="4" t="s">
        <v>19</v>
      </c>
      <c r="D20" s="4" t="s">
        <v>5</v>
      </c>
      <c r="E20" s="4">
        <v>127</v>
      </c>
      <c r="F20" s="4"/>
      <c r="G20" s="4" t="s">
        <v>5</v>
      </c>
      <c r="H20" s="2">
        <f>$E20*$B$11+$B$10+'Станд.норм.распр.'!B13*$B$12*$R20</f>
        <v>121.22789938357892</v>
      </c>
      <c r="I20" s="2">
        <f>$E20*$B$11+$B$10+'Станд.норм.распр.'!C13*$B$12*$R20</f>
        <v>97.768734106561169</v>
      </c>
      <c r="J20" s="2">
        <f>$E20*$B$11+$B$10+'Станд.норм.распр.'!D13*$B$12*$R20</f>
        <v>126.8615505824564</v>
      </c>
      <c r="K20" s="2">
        <f>$E20*$B$11+$B$10+'Станд.норм.распр.'!E13*$B$12*$R20</f>
        <v>109.74600171094062</v>
      </c>
      <c r="L20" s="2">
        <f>$E20*$B$11+$B$10+'Станд.норм.распр.'!F13*$B$12*$R20</f>
        <v>147.21591240513953</v>
      </c>
      <c r="M20" s="2">
        <f>$E20*$B$11+$B$10+'Станд.норм.распр.'!G13*$B$12*$R20</f>
        <v>100.87091139494441</v>
      </c>
      <c r="N20" s="2">
        <f>$E20*$B$11+$B$10+'Станд.норм.распр.'!H13*$B$12*$R20</f>
        <v>135.98522626407794</v>
      </c>
      <c r="O20" s="2">
        <f>$E20*$B$11+$B$10+'Станд.норм.распр.'!I13*$B$12*$R20</f>
        <v>209.45251888688654</v>
      </c>
      <c r="P20" s="2">
        <f>$E20*$B$11+$B$10+'Станд.норм.распр.'!J13*$B$12*$R20</f>
        <v>115.4662413529004</v>
      </c>
      <c r="Q20" s="2">
        <f>$E20*$B$11+$B$10+'Станд.норм.распр.'!K13*$B$12*$R20</f>
        <v>124.86296326015145</v>
      </c>
      <c r="R20">
        <v>11</v>
      </c>
    </row>
    <row r="21" spans="3:18" x14ac:dyDescent="0.35">
      <c r="C21" s="4" t="s">
        <v>20</v>
      </c>
      <c r="D21" s="4" t="s">
        <v>5</v>
      </c>
      <c r="E21" s="4">
        <v>685</v>
      </c>
      <c r="F21" s="4"/>
      <c r="G21" s="4" t="s">
        <v>5</v>
      </c>
      <c r="H21" s="2">
        <f>$E21*$B$11+$B$10+'Станд.норм.распр.'!B14*$B$12*$R21</f>
        <v>676.09656824253034</v>
      </c>
      <c r="I21" s="2">
        <f>$E21*$B$11+$B$10+'Станд.норм.распр.'!C14*$B$12*$R21</f>
        <v>662.72964275605045</v>
      </c>
      <c r="J21" s="2">
        <f>$E21*$B$11+$B$10+'Станд.норм.распр.'!D14*$B$12*$R21</f>
        <v>687.12531927495729</v>
      </c>
      <c r="K21" s="2">
        <f>$E21*$B$11+$B$10+'Станд.норм.распр.'!E14*$B$12*$R21</f>
        <v>696.73553142102901</v>
      </c>
      <c r="L21" s="2">
        <f>$E21*$B$11+$B$10+'Станд.норм.распр.'!F14*$B$12*$R21</f>
        <v>705.41579432948492</v>
      </c>
      <c r="M21" s="2">
        <f>$E21*$B$11+$B$10+'Станд.норм.распр.'!G14*$B$12*$R21</f>
        <v>649.53706740390044</v>
      </c>
      <c r="N21" s="2">
        <f>$E21*$B$11+$B$10+'Станд.норм.распр.'!H14*$B$12*$R21</f>
        <v>703.42791630729334</v>
      </c>
      <c r="O21" s="2">
        <f>$E21*$B$11+$B$10+'Станд.норм.распр.'!I14*$B$12*$R21</f>
        <v>661.703432599199</v>
      </c>
      <c r="P21" s="2">
        <f>$E21*$B$11+$B$10+'Станд.норм.распр.'!J14*$B$12*$R21</f>
        <v>654.41747963824309</v>
      </c>
      <c r="Q21" s="2">
        <f>$E21*$B$11+$B$10+'Станд.норм.распр.'!K14*$B$12*$R21</f>
        <v>685.92164851189591</v>
      </c>
      <c r="R21">
        <v>12</v>
      </c>
    </row>
    <row r="22" spans="3:18" x14ac:dyDescent="0.35">
      <c r="C22" s="4" t="s">
        <v>21</v>
      </c>
      <c r="D22" s="4" t="s">
        <v>5</v>
      </c>
      <c r="E22" s="4">
        <v>320</v>
      </c>
      <c r="F22" s="4"/>
      <c r="G22" s="4" t="s">
        <v>5</v>
      </c>
      <c r="H22" s="2">
        <f>$E22*$B$11+$B$10+'Станд.норм.распр.'!B15*$B$12*$R22</f>
        <v>327.71727923670551</v>
      </c>
      <c r="I22" s="2">
        <f>$E22*$B$11+$B$10+'Станд.норм.распр.'!C15*$B$12*$R22</f>
        <v>398.09867680002935</v>
      </c>
      <c r="J22" s="2">
        <f>$E22*$B$11+$B$10+'Станд.норм.распр.'!D15*$B$12*$R22</f>
        <v>344.54988430649973</v>
      </c>
      <c r="K22" s="2">
        <f>$E22*$B$11+$B$10+'Станд.норм.распр.'!E15*$B$12*$R22</f>
        <v>330.32545424600539</v>
      </c>
      <c r="L22" s="2">
        <f>$E22*$B$11+$B$10+'Станд.норм.распр.'!F15*$B$12*$R22</f>
        <v>255.70921401947271</v>
      </c>
      <c r="M22" s="2">
        <f>$E22*$B$11+$B$10+'Станд.норм.распр.'!G15*$B$12*$R22</f>
        <v>375.23576715454692</v>
      </c>
      <c r="N22" s="2">
        <f>$E22*$B$11+$B$10+'Станд.норм.распр.'!H15*$B$12*$R22</f>
        <v>307.37530107866075</v>
      </c>
      <c r="O22" s="2">
        <f>$E22*$B$11+$B$10+'Станд.норм.распр.'!I15*$B$12*$R22</f>
        <v>392.4017929820111</v>
      </c>
      <c r="P22" s="2">
        <f>$E22*$B$11+$B$10+'Станд.норм.распр.'!J15*$B$12*$R22</f>
        <v>314.78534232871607</v>
      </c>
      <c r="Q22" s="2">
        <f>$E22*$B$11+$B$10+'Станд.норм.распр.'!K15*$B$12*$R22</f>
        <v>309.31972482346464</v>
      </c>
      <c r="R22">
        <v>13</v>
      </c>
    </row>
    <row r="23" spans="3:18" x14ac:dyDescent="0.35">
      <c r="C23" s="4" t="s">
        <v>22</v>
      </c>
      <c r="D23" s="4" t="s">
        <v>5</v>
      </c>
      <c r="E23" s="4">
        <v>658</v>
      </c>
      <c r="F23" s="4"/>
      <c r="G23" s="4" t="s">
        <v>5</v>
      </c>
      <c r="H23" s="2">
        <f>$E23*$B$11+$B$10+'Станд.норм.распр.'!B16*$B$12*$R23</f>
        <v>660.27149781089975</v>
      </c>
      <c r="I23" s="2">
        <f>$E23*$B$11+$B$10+'Станд.норм.распр.'!C16*$B$12*$R23</f>
        <v>674.35199692423339</v>
      </c>
      <c r="J23" s="2">
        <f>$E23*$B$11+$B$10+'Станд.норм.распр.'!D16*$B$12*$R23</f>
        <v>659.46502612147015</v>
      </c>
      <c r="K23" s="2">
        <f>$E23*$B$11+$B$10+'Станд.норм.распр.'!E16*$B$12*$R23</f>
        <v>607.91272001748439</v>
      </c>
      <c r="L23" s="2">
        <f>$E23*$B$11+$B$10+'Станд.норм.распр.'!F16*$B$12*$R23</f>
        <v>734.72865036106668</v>
      </c>
      <c r="M23" s="2">
        <f>$E23*$B$11+$B$10+'Станд.норм.распр.'!G16*$B$12*$R23</f>
        <v>686.08050181152066</v>
      </c>
      <c r="N23" s="2">
        <f>$E23*$B$11+$B$10+'Станд.норм.распр.'!H16*$B$12*$R23</f>
        <v>662.73455498245312</v>
      </c>
      <c r="O23" s="2">
        <f>$E23*$B$11+$B$10+'Станд.норм.распр.'!I16*$B$12*$R23</f>
        <v>639.06969610994565</v>
      </c>
      <c r="P23" s="2">
        <f>$E23*$B$11+$B$10+'Станд.норм.распр.'!J16*$B$12*$R23</f>
        <v>640.77703821763862</v>
      </c>
      <c r="Q23" s="2">
        <f>$E23*$B$11+$B$10+'Станд.норм.распр.'!K16*$B$12*$R23</f>
        <v>710.10743734601431</v>
      </c>
      <c r="R23">
        <v>14</v>
      </c>
    </row>
    <row r="24" spans="3:18" x14ac:dyDescent="0.35">
      <c r="C24" s="4" t="s">
        <v>23</v>
      </c>
      <c r="D24" s="4" t="s">
        <v>5</v>
      </c>
      <c r="E24" s="4">
        <v>436</v>
      </c>
      <c r="F24" s="4"/>
      <c r="G24" s="4" t="s">
        <v>5</v>
      </c>
      <c r="H24" s="2">
        <f>$E24*$B$11+$B$10+'Станд.норм.распр.'!B17*$B$12*$R24</f>
        <v>428.51341887934541</v>
      </c>
      <c r="I24" s="2">
        <f>$E24*$B$11+$B$10+'Станд.норм.распр.'!C17*$B$12*$R24</f>
        <v>441.76868456442025</v>
      </c>
      <c r="J24" s="2">
        <f>$E24*$B$11+$B$10+'Станд.норм.распр.'!D17*$B$12*$R24</f>
        <v>427.91066263442917</v>
      </c>
      <c r="K24" s="2">
        <f>$E24*$B$11+$B$10+'Станд.норм.распр.'!E17*$B$12*$R24</f>
        <v>458.2449768949009</v>
      </c>
      <c r="L24" s="2">
        <f>$E24*$B$11+$B$10+'Станд.норм.распр.'!F17*$B$12*$R24</f>
        <v>392.33868207328487</v>
      </c>
      <c r="M24" s="2">
        <f>$E24*$B$11+$B$10+'Станд.норм.распр.'!G17*$B$12*$R24</f>
        <v>438.91058041107317</v>
      </c>
      <c r="N24" s="2">
        <f>$E24*$B$11+$B$10+'Станд.норм.распр.'!H17*$B$12*$R24</f>
        <v>441.76525690626295</v>
      </c>
      <c r="O24" s="2">
        <f>$E24*$B$11+$B$10+'Станд.норм.распр.'!I17*$B$12*$R24</f>
        <v>434.2589413371461</v>
      </c>
      <c r="P24" s="2">
        <f>$E24*$B$11+$B$10+'Станд.норм.распр.'!J17*$B$12*$R24</f>
        <v>430.70983153110137</v>
      </c>
      <c r="Q24" s="2">
        <f>$E24*$B$11+$B$10+'Станд.норм.распр.'!K17*$B$12*$R24</f>
        <v>432.00101523846388</v>
      </c>
      <c r="R24">
        <v>15</v>
      </c>
    </row>
    <row r="25" spans="3:18" x14ac:dyDescent="0.35">
      <c r="C25" s="4" t="s">
        <v>24</v>
      </c>
      <c r="D25" s="4" t="s">
        <v>5</v>
      </c>
      <c r="E25" s="4">
        <v>686</v>
      </c>
      <c r="F25" s="4"/>
      <c r="G25" s="4" t="s">
        <v>5</v>
      </c>
      <c r="H25" s="2">
        <f>$E25*$B$11+$B$10+'Станд.норм.распр.'!B18*$B$12*$R25</f>
        <v>676.87247784296051</v>
      </c>
      <c r="I25" s="2">
        <f>$E25*$B$11+$B$10+'Станд.норм.распр.'!C18*$B$12*$R25</f>
        <v>697.53408743953332</v>
      </c>
      <c r="J25" s="2">
        <f>$E25*$B$11+$B$10+'Станд.норм.распр.'!D18*$B$12*$R25</f>
        <v>735.37237759400159</v>
      </c>
      <c r="K25" s="2">
        <f>$E25*$B$11+$B$10+'Станд.норм.распр.'!E18*$B$12*$R25</f>
        <v>694.53597453492694</v>
      </c>
      <c r="L25" s="2">
        <f>$E25*$B$11+$B$10+'Станд.норм.распр.'!F18*$B$12*$R25</f>
        <v>715.21291821217164</v>
      </c>
      <c r="M25" s="2">
        <f>$E25*$B$11+$B$10+'Станд.норм.распр.'!G18*$B$12*$R25</f>
        <v>658.71736288489774</v>
      </c>
      <c r="N25" s="2">
        <f>$E25*$B$11+$B$10+'Станд.норм.распр.'!H18*$B$12*$R25</f>
        <v>633.16801792383228</v>
      </c>
      <c r="O25" s="2">
        <f>$E25*$B$11+$B$10+'Станд.норм.распр.'!I18*$B$12*$R25</f>
        <v>714.70138201210648</v>
      </c>
      <c r="P25" s="2">
        <f>$E25*$B$11+$B$10+'Станд.норм.распр.'!J18*$B$12*$R25</f>
        <v>632.46978234918788</v>
      </c>
      <c r="Q25" s="2">
        <f>$E25*$B$11+$B$10+'Станд.норм.распр.'!K18*$B$12*$R25</f>
        <v>681.96033672383055</v>
      </c>
      <c r="R25">
        <v>16</v>
      </c>
    </row>
    <row r="26" spans="3:18" x14ac:dyDescent="0.35">
      <c r="C26" s="4" t="s">
        <v>25</v>
      </c>
      <c r="D26" s="4" t="s">
        <v>5</v>
      </c>
      <c r="E26" s="4">
        <v>797</v>
      </c>
      <c r="F26" s="4"/>
      <c r="G26" s="4" t="s">
        <v>5</v>
      </c>
      <c r="H26" s="2">
        <f>$E26*$B$11+$B$10+'Станд.норм.распр.'!B19*$B$12*$R26</f>
        <v>843.66801328817382</v>
      </c>
      <c r="I26" s="2">
        <f>$E26*$B$11+$B$10+'Станд.норм.распр.'!C19*$B$12*$R26</f>
        <v>809.34090018947609</v>
      </c>
      <c r="J26" s="2">
        <f>$E26*$B$11+$B$10+'Станд.норм.распр.'!D19*$B$12*$R26</f>
        <v>839.94451924174791</v>
      </c>
      <c r="K26" s="2">
        <f>$E26*$B$11+$B$10+'Станд.норм.распр.'!E19*$B$12*$R26</f>
        <v>829.32229869859293</v>
      </c>
      <c r="L26" s="2">
        <f>$E26*$B$11+$B$10+'Станд.норм.распр.'!F19*$B$12*$R26</f>
        <v>704.12805605560436</v>
      </c>
      <c r="M26" s="2">
        <f>$E26*$B$11+$B$10+'Станд.норм.распр.'!G19*$B$12*$R26</f>
        <v>854.40062829823</v>
      </c>
      <c r="N26" s="2">
        <f>$E26*$B$11+$B$10+'Станд.норм.распр.'!H19*$B$12*$R26</f>
        <v>768.20836839906417</v>
      </c>
      <c r="O26" s="2">
        <f>$E26*$B$11+$B$10+'Станд.норм.распр.'!I19*$B$12*$R26</f>
        <v>792.50806319853291</v>
      </c>
      <c r="P26" s="2">
        <f>$E26*$B$11+$B$10+'Станд.норм.распр.'!J19*$B$12*$R26</f>
        <v>753.77398442744743</v>
      </c>
      <c r="Q26" s="2">
        <f>$E26*$B$11+$B$10+'Станд.норм.распр.'!K19*$B$12*$R26</f>
        <v>820.37072215191438</v>
      </c>
      <c r="R26">
        <v>17</v>
      </c>
    </row>
    <row r="27" spans="3:18" x14ac:dyDescent="0.35">
      <c r="C27" s="4" t="s">
        <v>26</v>
      </c>
      <c r="D27" s="4" t="s">
        <v>5</v>
      </c>
      <c r="E27" s="4">
        <v>464</v>
      </c>
      <c r="F27" s="4"/>
      <c r="G27" s="4" t="s">
        <v>5</v>
      </c>
      <c r="H27" s="2">
        <f>$E27*$B$11+$B$10+'Станд.норм.распр.'!B20*$B$12*$R27</f>
        <v>428.48230672790669</v>
      </c>
      <c r="I27" s="2">
        <f>$E27*$B$11+$B$10+'Станд.норм.распр.'!C20*$B$12*$R27</f>
        <v>472.86129169480409</v>
      </c>
      <c r="J27" s="2">
        <f>$E27*$B$11+$B$10+'Станд.норм.распр.'!D20*$B$12*$R27</f>
        <v>461.2121856949816</v>
      </c>
      <c r="K27" s="2">
        <f>$E27*$B$11+$B$10+'Станд.норм.распр.'!E20*$B$12*$R27</f>
        <v>484.68045046649058</v>
      </c>
      <c r="L27" s="2">
        <f>$E27*$B$11+$B$10+'Станд.норм.распр.'!F20*$B$12*$R27</f>
        <v>383.31874615652487</v>
      </c>
      <c r="M27" s="2">
        <f>$E27*$B$11+$B$10+'Станд.норм.распр.'!G20*$B$12*$R27</f>
        <v>468.08041456062347</v>
      </c>
      <c r="N27" s="2">
        <f>$E27*$B$11+$B$10+'Станд.норм.распр.'!H20*$B$12*$R27</f>
        <v>572.1266812030226</v>
      </c>
      <c r="O27" s="2">
        <f>$E27*$B$11+$B$10+'Станд.норм.распр.'!I20*$B$12*$R27</f>
        <v>459.82112946477719</v>
      </c>
      <c r="P27" s="2">
        <f>$E27*$B$11+$B$10+'Станд.норм.распр.'!J20*$B$12*$R27</f>
        <v>467.34476749735768</v>
      </c>
      <c r="Q27" s="2">
        <f>$E27*$B$11+$B$10+'Станд.норм.распр.'!K20*$B$12*$R27</f>
        <v>428.82855136087164</v>
      </c>
      <c r="R27">
        <v>18</v>
      </c>
    </row>
    <row r="28" spans="3:18" x14ac:dyDescent="0.35">
      <c r="C28" s="4" t="s">
        <v>27</v>
      </c>
      <c r="D28" s="4" t="s">
        <v>5</v>
      </c>
      <c r="E28" s="4">
        <v>514</v>
      </c>
      <c r="F28" s="4"/>
      <c r="G28" s="4" t="s">
        <v>5</v>
      </c>
      <c r="H28" s="2">
        <f>$E28*$B$11+$B$10+'Станд.норм.распр.'!B21*$B$12*$R28</f>
        <v>473.41789916792186</v>
      </c>
      <c r="I28" s="2">
        <f>$E28*$B$11+$B$10+'Станд.норм.распр.'!C21*$B$12*$R28</f>
        <v>422.35535596084082</v>
      </c>
      <c r="J28" s="2">
        <f>$E28*$B$11+$B$10+'Станд.норм.распр.'!D21*$B$12*$R28</f>
        <v>543.70652827166487</v>
      </c>
      <c r="K28" s="2">
        <f>$E28*$B$11+$B$10+'Станд.норм.распр.'!E21*$B$12*$R28</f>
        <v>526.64649723048205</v>
      </c>
      <c r="L28" s="2">
        <f>$E28*$B$11+$B$10+'Станд.норм.распр.'!F21*$B$12*$R28</f>
        <v>542.42773551997379</v>
      </c>
      <c r="M28" s="2">
        <f>$E28*$B$11+$B$10+'Станд.норм.распр.'!G21*$B$12*$R28</f>
        <v>529.20045385000412</v>
      </c>
      <c r="N28" s="2">
        <f>$E28*$B$11+$B$10+'Станд.норм.распр.'!H21*$B$12*$R28</f>
        <v>505.57106098099013</v>
      </c>
      <c r="O28" s="2">
        <f>$E28*$B$11+$B$10+'Станд.норм.распр.'!I21*$B$12*$R28</f>
        <v>498.79552642088674</v>
      </c>
      <c r="P28" s="2">
        <f>$E28*$B$11+$B$10+'Станд.норм.распр.'!J21*$B$12*$R28</f>
        <v>565.33065838486073</v>
      </c>
      <c r="Q28" s="2">
        <f>$E28*$B$11+$B$10+'Станд.норм.распр.'!K21*$B$12*$R28</f>
        <v>606.41830708156317</v>
      </c>
      <c r="R28">
        <v>19</v>
      </c>
    </row>
    <row r="29" spans="3:18" x14ac:dyDescent="0.35">
      <c r="C29" s="4" t="s">
        <v>28</v>
      </c>
      <c r="D29" s="4" t="s">
        <v>5</v>
      </c>
      <c r="E29" s="4">
        <v>724</v>
      </c>
      <c r="F29" s="4"/>
      <c r="G29" s="4" t="s">
        <v>5</v>
      </c>
      <c r="H29" s="2">
        <f>$E29*$B$11+$B$10+'Станд.норм.распр.'!B22*$B$12*$R29</f>
        <v>697.99729477870278</v>
      </c>
      <c r="I29" s="2">
        <f>$E29*$B$11+$B$10+'Станд.норм.распр.'!C22*$B$12*$R29</f>
        <v>779.54118002287578</v>
      </c>
      <c r="J29" s="2">
        <f>$E29*$B$11+$B$10+'Станд.норм.распр.'!D22*$B$12*$R29</f>
        <v>689.84908627078403</v>
      </c>
      <c r="K29" s="2">
        <f>$E29*$B$11+$B$10+'Станд.норм.распр.'!E22*$B$12*$R29</f>
        <v>716.00528987380676</v>
      </c>
      <c r="L29" s="2">
        <f>$E29*$B$11+$B$10+'Станд.норм.распр.'!F22*$B$12*$R29</f>
        <v>622.50673554337141</v>
      </c>
      <c r="M29" s="2">
        <f>$E29*$B$11+$B$10+'Станд.норм.распр.'!G22*$B$12*$R29</f>
        <v>777.75375008548144</v>
      </c>
      <c r="N29" s="2">
        <f>$E29*$B$11+$B$10+'Станд.норм.распр.'!H22*$B$12*$R29</f>
        <v>715.72596131352475</v>
      </c>
      <c r="O29" s="2">
        <f>$E29*$B$11+$B$10+'Станд.норм.распр.'!I22*$B$12*$R29</f>
        <v>720.69869180757087</v>
      </c>
      <c r="P29" s="2">
        <f>$E29*$B$11+$B$10+'Станд.норм.распр.'!J22*$B$12*$R29</f>
        <v>677.0209818254225</v>
      </c>
      <c r="Q29" s="2">
        <f>$E29*$B$11+$B$10+'Станд.норм.распр.'!K22*$B$12*$R29</f>
        <v>771.62202775559854</v>
      </c>
      <c r="R29">
        <v>20</v>
      </c>
    </row>
    <row r="30" spans="3:18" x14ac:dyDescent="0.35">
      <c r="C30" s="4" t="s">
        <v>29</v>
      </c>
      <c r="D30" s="4" t="s">
        <v>5</v>
      </c>
      <c r="E30" s="4">
        <v>63</v>
      </c>
      <c r="F30" s="4"/>
      <c r="G30" s="4" t="s">
        <v>5</v>
      </c>
      <c r="H30" s="2">
        <f>$E30*$B$11+$B$10+'Станд.норм.распр.'!B23*$B$12*$R30</f>
        <v>97.431048566650134</v>
      </c>
      <c r="I30" s="2">
        <f>$E30*$B$11+$B$10+'Станд.норм.распр.'!C23*$B$12*$R30</f>
        <v>108.29950797909987</v>
      </c>
      <c r="J30" s="2">
        <f>$E30*$B$11+$B$10+'Станд.норм.распр.'!D23*$B$12*$R30</f>
        <v>23.824463419659878</v>
      </c>
      <c r="K30" s="2">
        <f>$E30*$B$11+$B$10+'Станд.норм.распр.'!E23*$B$12*$R30</f>
        <v>20.842022245633416</v>
      </c>
      <c r="L30" s="2">
        <f>$E30*$B$11+$B$10+'Станд.норм.распр.'!F23*$B$12*$R30</f>
        <v>93.220349577168236</v>
      </c>
      <c r="M30" s="2">
        <f>$E30*$B$11+$B$10+'Станд.норм.распр.'!G23*$B$12*$R30</f>
        <v>91.047030132758664</v>
      </c>
      <c r="N30" s="2">
        <f>$E30*$B$11+$B$10+'Станд.норм.распр.'!H23*$B$12*$R30</f>
        <v>45.908823999925517</v>
      </c>
      <c r="O30" s="2">
        <f>$E30*$B$11+$B$10+'Станд.норм.распр.'!I23*$B$12*$R30</f>
        <v>-39.139130598923657</v>
      </c>
      <c r="P30" s="2">
        <f>$E30*$B$11+$B$10+'Станд.норм.распр.'!J23*$B$12*$R30</f>
        <v>47.271947374101728</v>
      </c>
      <c r="Q30" s="2">
        <f>$E30*$B$11+$B$10+'Станд.норм.распр.'!K23*$B$12*$R30</f>
        <v>1.9947931882052217</v>
      </c>
      <c r="R30">
        <v>21</v>
      </c>
    </row>
    <row r="31" spans="3:18" x14ac:dyDescent="0.35">
      <c r="C31" s="4" t="s">
        <v>30</v>
      </c>
      <c r="D31" s="4" t="s">
        <v>5</v>
      </c>
      <c r="E31" s="4">
        <v>298</v>
      </c>
      <c r="F31" s="4"/>
      <c r="G31" s="4" t="s">
        <v>5</v>
      </c>
      <c r="H31" s="2">
        <f>$E31*$B$11+$B$10+'Станд.норм.распр.'!B24*$B$12*$R31</f>
        <v>341.95547717245063</v>
      </c>
      <c r="I31" s="2">
        <f>$E31*$B$11+$B$10+'Станд.норм.распр.'!C24*$B$12*$R31</f>
        <v>331.41802380923764</v>
      </c>
      <c r="J31" s="2">
        <f>$E31*$B$11+$B$10+'Станд.норм.распр.'!D24*$B$12*$R31</f>
        <v>202.91619724303018</v>
      </c>
      <c r="K31" s="2">
        <f>$E31*$B$11+$B$10+'Станд.норм.распр.'!E24*$B$12*$R31</f>
        <v>388.60203706717584</v>
      </c>
      <c r="L31" s="2">
        <f>$E31*$B$11+$B$10+'Станд.норм.распр.'!F24*$B$12*$R31</f>
        <v>316.3395543495426</v>
      </c>
      <c r="M31" s="2">
        <f>$E31*$B$11+$B$10+'Станд.норм.распр.'!G24*$B$12*$R31</f>
        <v>321.56007212761324</v>
      </c>
      <c r="N31" s="2">
        <f>$E31*$B$11+$B$10+'Станд.норм.распр.'!H24*$B$12*$R31</f>
        <v>276.20683176722429</v>
      </c>
      <c r="O31" s="2">
        <f>$E31*$B$11+$B$10+'Станд.норм.распр.'!I24*$B$12*$R31</f>
        <v>147.30420692358166</v>
      </c>
      <c r="P31" s="2">
        <f>$E31*$B$11+$B$10+'Станд.норм.распр.'!J24*$B$12*$R31</f>
        <v>287.64163819942041</v>
      </c>
      <c r="Q31" s="2">
        <f>$E31*$B$11+$B$10+'Станд.норм.распр.'!K24*$B$12*$R31</f>
        <v>379.55902219691779</v>
      </c>
      <c r="R31">
        <v>22</v>
      </c>
    </row>
    <row r="32" spans="3:18" x14ac:dyDescent="0.35">
      <c r="C32" s="4" t="s">
        <v>31</v>
      </c>
      <c r="D32" s="4" t="s">
        <v>5</v>
      </c>
      <c r="E32" s="4">
        <v>689</v>
      </c>
      <c r="F32" s="4"/>
      <c r="G32" s="4" t="s">
        <v>5</v>
      </c>
      <c r="H32" s="2">
        <f>$E32*$B$11+$B$10+'Станд.норм.распр.'!B25*$B$12*$R32</f>
        <v>633.67396914437995</v>
      </c>
      <c r="I32" s="2">
        <f>$E32*$B$11+$B$10+'Станд.норм.распр.'!C25*$B$12*$R32</f>
        <v>753.99234883044846</v>
      </c>
      <c r="J32" s="2">
        <f>$E32*$B$11+$B$10+'Станд.норм.распр.'!D25*$B$12*$R32</f>
        <v>762.68613137764623</v>
      </c>
      <c r="K32" s="2">
        <f>$E32*$B$11+$B$10+'Станд.норм.распр.'!E25*$B$12*$R32</f>
        <v>667.76279349434481</v>
      </c>
      <c r="L32" s="2">
        <f>$E32*$B$11+$B$10+'Станд.норм.распр.'!F25*$B$12*$R32</f>
        <v>791.20645731856348</v>
      </c>
      <c r="M32" s="2">
        <f>$E32*$B$11+$B$10+'Станд.норм.распр.'!G25*$B$12*$R32</f>
        <v>701.7665846371674</v>
      </c>
      <c r="N32" s="2">
        <f>$E32*$B$11+$B$10+'Станд.норм.распр.'!H25*$B$12*$R32</f>
        <v>741.4507352161454</v>
      </c>
      <c r="O32" s="2">
        <f>$E32*$B$11+$B$10+'Станд.норм.распр.'!I25*$B$12*$R32</f>
        <v>756.63292799910414</v>
      </c>
      <c r="P32" s="2">
        <f>$E32*$B$11+$B$10+'Станд.норм.распр.'!J25*$B$12*$R32</f>
        <v>698.63280484848633</v>
      </c>
      <c r="Q32" s="2">
        <f>$E32*$B$11+$B$10+'Станд.норм.распр.'!K25*$B$12*$R32</f>
        <v>593.17321737873135</v>
      </c>
      <c r="R32">
        <v>23</v>
      </c>
    </row>
    <row r="33" spans="3:18" x14ac:dyDescent="0.35">
      <c r="C33" s="4" t="s">
        <v>32</v>
      </c>
      <c r="D33" s="4" t="s">
        <v>5</v>
      </c>
      <c r="E33" s="4">
        <v>278</v>
      </c>
      <c r="F33" s="4"/>
      <c r="G33" s="4" t="s">
        <v>5</v>
      </c>
      <c r="H33" s="2">
        <f>$E33*$B$11+$B$10+'Станд.норм.распр.'!B26*$B$12*$R33</f>
        <v>231.56291333842091</v>
      </c>
      <c r="I33" s="2">
        <f>$E33*$B$11+$B$10+'Станд.норм.распр.'!C26*$B$12*$R33</f>
        <v>303.247175704455</v>
      </c>
      <c r="J33" s="2">
        <f>$E33*$B$11+$B$10+'Станд.норм.распр.'!D26*$B$12*$R33</f>
        <v>342.17636837391183</v>
      </c>
      <c r="K33" s="2">
        <f>$E33*$B$11+$B$10+'Станд.норм.распр.'!E26*$B$12*$R33</f>
        <v>366.2021443026606</v>
      </c>
      <c r="L33" s="2">
        <f>$E33*$B$11+$B$10+'Станд.норм.распр.'!F26*$B$12*$R33</f>
        <v>308.08420504152309</v>
      </c>
      <c r="M33" s="2">
        <f>$E33*$B$11+$B$10+'Станд.норм.распр.'!G26*$B$12*$R33</f>
        <v>271.96663338807411</v>
      </c>
      <c r="N33" s="2">
        <f>$E33*$B$11+$B$10+'Станд.норм.распр.'!H26*$B$12*$R33</f>
        <v>357.53063982818276</v>
      </c>
      <c r="O33" s="2">
        <f>$E33*$B$11+$B$10+'Станд.норм.распр.'!I26*$B$12*$R33</f>
        <v>226.74937624949962</v>
      </c>
      <c r="P33" s="2">
        <f>$E33*$B$11+$B$10+'Станд.норм.распр.'!J26*$B$12*$R33</f>
        <v>279.56764440867119</v>
      </c>
      <c r="Q33" s="2">
        <f>$E33*$B$11+$B$10+'Станд.норм.распр.'!K26*$B$12*$R33</f>
        <v>369.23321729525924</v>
      </c>
      <c r="R33">
        <v>24</v>
      </c>
    </row>
    <row r="34" spans="3:18" x14ac:dyDescent="0.35">
      <c r="C34" s="4" t="s">
        <v>33</v>
      </c>
      <c r="D34" s="4" t="s">
        <v>5</v>
      </c>
      <c r="E34" s="4">
        <v>701</v>
      </c>
      <c r="F34" s="4"/>
      <c r="G34" s="4" t="s">
        <v>5</v>
      </c>
      <c r="H34" s="2">
        <f>$E34*$B$11+$B$10+'Станд.норм.распр.'!B27*$B$12*$R34</f>
        <v>731.90180894610239</v>
      </c>
      <c r="I34" s="2">
        <f>$E34*$B$11+$B$10+'Станд.норм.распр.'!C27*$B$12*$R34</f>
        <v>606.07333064265549</v>
      </c>
      <c r="J34" s="2">
        <f>$E34*$B$11+$B$10+'Станд.норм.распр.'!D27*$B$12*$R34</f>
        <v>736.5132881446043</v>
      </c>
      <c r="K34" s="2">
        <f>$E34*$B$11+$B$10+'Станд.норм.распр.'!E27*$B$12*$R34</f>
        <v>668.711481308972</v>
      </c>
      <c r="L34" s="2">
        <f>$E34*$B$11+$B$10+'Станд.норм.распр.'!F27*$B$12*$R34</f>
        <v>758.88498197539593</v>
      </c>
      <c r="M34" s="2">
        <f>$E34*$B$11+$B$10+'Станд.норм.распр.'!G27*$B$12*$R34</f>
        <v>716.00557528338686</v>
      </c>
      <c r="N34" s="2">
        <f>$E34*$B$11+$B$10+'Станд.норм.распр.'!H27*$B$12*$R34</f>
        <v>604.25974136390141</v>
      </c>
      <c r="O34" s="2">
        <f>$E34*$B$11+$B$10+'Станд.норм.распр.'!I27*$B$12*$R34</f>
        <v>588.57078722806182</v>
      </c>
      <c r="P34" s="2">
        <f>$E34*$B$11+$B$10+'Станд.норм.распр.'!J27*$B$12*$R34</f>
        <v>689.51071564381709</v>
      </c>
      <c r="Q34" s="2">
        <f>$E34*$B$11+$B$10+'Станд.норм.распр.'!K27*$B$12*$R34</f>
        <v>649.5471205439826</v>
      </c>
      <c r="R34">
        <v>25</v>
      </c>
    </row>
    <row r="35" spans="3:18" x14ac:dyDescent="0.35">
      <c r="C35" s="4" t="s">
        <v>34</v>
      </c>
      <c r="D35" s="4" t="s">
        <v>5</v>
      </c>
      <c r="E35" s="4">
        <v>219</v>
      </c>
      <c r="F35" s="4"/>
      <c r="G35" s="4" t="s">
        <v>5</v>
      </c>
      <c r="H35" s="2">
        <f>$E35*$B$11+$B$10+'Станд.норм.распр.'!B28*$B$12*$R35</f>
        <v>262.41830686421599</v>
      </c>
      <c r="I35" s="2">
        <f>$E35*$B$11+$B$10+'Станд.норм.распр.'!C28*$B$12*$R35</f>
        <v>311.17825504997745</v>
      </c>
      <c r="J35" s="2">
        <f>$E35*$B$11+$B$10+'Станд.норм.распр.'!D28*$B$12*$R35</f>
        <v>224.59030309482478</v>
      </c>
      <c r="K35" s="2">
        <f>$E35*$B$11+$B$10+'Станд.норм.распр.'!E28*$B$12*$R35</f>
        <v>234.38045876764227</v>
      </c>
      <c r="L35" s="2">
        <f>$E35*$B$11+$B$10+'Станд.норм.распр.'!F28*$B$12*$R35</f>
        <v>269.47866875934415</v>
      </c>
      <c r="M35" s="2">
        <f>$E35*$B$11+$B$10+'Станд.норм.распр.'!G28*$B$12*$R35</f>
        <v>263.23128598823678</v>
      </c>
      <c r="N35" s="2">
        <f>$E35*$B$11+$B$10+'Станд.норм.распр.'!H28*$B$12*$R35</f>
        <v>226.61069100513123</v>
      </c>
      <c r="O35" s="2">
        <f>$E35*$B$11+$B$10+'Станд.норм.распр.'!I28*$B$12*$R35</f>
        <v>134.99908140010666</v>
      </c>
      <c r="P35" s="2">
        <f>$E35*$B$11+$B$10+'Станд.норм.распр.'!J28*$B$12*$R35</f>
        <v>242.45287680832553</v>
      </c>
      <c r="Q35" s="2">
        <f>$E35*$B$11+$B$10+'Станд.норм.распр.'!K28*$B$12*$R35</f>
        <v>212.0930546320742</v>
      </c>
      <c r="R35">
        <v>26</v>
      </c>
    </row>
    <row r="36" spans="3:18" x14ac:dyDescent="0.35">
      <c r="C36" s="4" t="s">
        <v>35</v>
      </c>
      <c r="D36" s="4" t="s">
        <v>5</v>
      </c>
      <c r="E36" s="4">
        <v>666</v>
      </c>
      <c r="F36" s="4"/>
      <c r="G36" s="4" t="s">
        <v>5</v>
      </c>
      <c r="H36" s="2">
        <f>$E36*$B$11+$B$10+'Станд.норм.распр.'!B29*$B$12*$R36</f>
        <v>702.32776111367275</v>
      </c>
      <c r="I36" s="2">
        <f>$E36*$B$11+$B$10+'Станд.норм.распр.'!C29*$B$12*$R36</f>
        <v>750.75209893326974</v>
      </c>
      <c r="J36" s="2">
        <f>$E36*$B$11+$B$10+'Станд.норм.распр.'!D29*$B$12*$R36</f>
        <v>603.59297308820533</v>
      </c>
      <c r="K36" s="2">
        <f>$E36*$B$11+$B$10+'Станд.норм.распр.'!E29*$B$12*$R36</f>
        <v>546.59410794044379</v>
      </c>
      <c r="L36" s="2">
        <f>$E36*$B$11+$B$10+'Станд.норм.распр.'!F29*$B$12*$R36</f>
        <v>726.81278184460825</v>
      </c>
      <c r="M36" s="2">
        <f>$E36*$B$11+$B$10+'Станд.норм.распр.'!G29*$B$12*$R36</f>
        <v>732.67941830123891</v>
      </c>
      <c r="N36" s="2">
        <f>$E36*$B$11+$B$10+'Станд.норм.распр.'!H29*$B$12*$R36</f>
        <v>626.71272176373168</v>
      </c>
      <c r="O36" s="2">
        <f>$E36*$B$11+$B$10+'Станд.норм.распр.'!I29*$B$12*$R36</f>
        <v>702.32094672461972</v>
      </c>
      <c r="P36" s="2">
        <f>$E36*$B$11+$B$10+'Станд.норм.распр.'!J29*$B$12*$R36</f>
        <v>629.29574356018566</v>
      </c>
      <c r="Q36" s="2">
        <f>$E36*$B$11+$B$10+'Станд.норм.распр.'!K29*$B$12*$R36</f>
        <v>707.84723207395291</v>
      </c>
      <c r="R36">
        <v>27</v>
      </c>
    </row>
    <row r="37" spans="3:18" x14ac:dyDescent="0.35">
      <c r="C37" s="4" t="s">
        <v>36</v>
      </c>
      <c r="D37" s="4" t="s">
        <v>5</v>
      </c>
      <c r="E37" s="4">
        <v>92</v>
      </c>
      <c r="F37" s="4"/>
      <c r="G37" s="4" t="s">
        <v>5</v>
      </c>
      <c r="H37" s="2">
        <f>$E37*$B$11+$B$10+'Станд.норм.распр.'!B30*$B$12*$R37</f>
        <v>52.524531393777579</v>
      </c>
      <c r="I37" s="2">
        <f>$E37*$B$11+$B$10+'Станд.норм.распр.'!C30*$B$12*$R37</f>
        <v>190.69008250057232</v>
      </c>
      <c r="J37" s="2">
        <f>$E37*$B$11+$B$10+'Станд.норм.распр.'!D30*$B$12*$R37</f>
        <v>31.264428808703087</v>
      </c>
      <c r="K37" s="2">
        <f>$E37*$B$11+$B$10+'Станд.норм.распр.'!E30*$B$12*$R37</f>
        <v>118.92384282959392</v>
      </c>
      <c r="L37" s="2">
        <f>$E37*$B$11+$B$10+'Станд.норм.распр.'!F30*$B$12*$R37</f>
        <v>158.0167581877904</v>
      </c>
      <c r="M37" s="2">
        <f>$E37*$B$11+$B$10+'Станд.норм.распр.'!G30*$B$12*$R37</f>
        <v>162.73201527923811</v>
      </c>
      <c r="N37" s="2">
        <f>$E37*$B$11+$B$10+'Станд.норм.распр.'!H30*$B$12*$R37</f>
        <v>148.50354365166277</v>
      </c>
      <c r="O37" s="2">
        <f>$E37*$B$11+$B$10+'Станд.норм.распр.'!I30*$B$12*$R37</f>
        <v>240.01826478610747</v>
      </c>
      <c r="P37" s="2">
        <f>$E37*$B$11+$B$10+'Станд.норм.распр.'!J30*$B$12*$R37</f>
        <v>84.297892509261146</v>
      </c>
      <c r="Q37" s="2">
        <f>$E37*$B$11+$B$10+'Станд.норм.распр.'!K30*$B$12*$R37</f>
        <v>203.31764336419292</v>
      </c>
      <c r="R37">
        <v>28</v>
      </c>
    </row>
    <row r="38" spans="3:18" x14ac:dyDescent="0.35">
      <c r="C38" s="4" t="s">
        <v>37</v>
      </c>
      <c r="D38" s="4" t="s">
        <v>5</v>
      </c>
      <c r="E38" s="4">
        <v>250</v>
      </c>
      <c r="F38" s="4"/>
      <c r="G38" s="4" t="s">
        <v>5</v>
      </c>
      <c r="H38" s="2">
        <f>$E38*$B$11+$B$10+'Станд.норм.распр.'!B31*$B$12*$R38</f>
        <v>276.280913066832</v>
      </c>
      <c r="I38" s="2">
        <f>$E38*$B$11+$B$10+'Станд.норм.распр.'!C31*$B$12*$R38</f>
        <v>369.46893505915068</v>
      </c>
      <c r="J38" s="2">
        <f>$E38*$B$11+$B$10+'Станд.норм.распр.'!D31*$B$12*$R38</f>
        <v>507.17198082525283</v>
      </c>
      <c r="K38" s="2">
        <f>$E38*$B$11+$B$10+'Станд.норм.распр.'!E31*$B$12*$R38</f>
        <v>142.18314636268769</v>
      </c>
      <c r="L38" s="2">
        <f>$E38*$B$11+$B$10+'Станд.норм.распр.'!F31*$B$12*$R38</f>
        <v>128.12944176679645</v>
      </c>
      <c r="M38" s="2">
        <f>$E38*$B$11+$B$10+'Станд.норм.распр.'!G31*$B$12*$R38</f>
        <v>214.43669329487602</v>
      </c>
      <c r="N38" s="2">
        <f>$E38*$B$11+$B$10+'Станд.норм.распр.'!H31*$B$12*$R38</f>
        <v>276.6964236794156</v>
      </c>
      <c r="O38" s="2">
        <f>$E38*$B$11+$B$10+'Станд.норм.распр.'!I31*$B$12*$R38</f>
        <v>271.99089704440848</v>
      </c>
      <c r="P38" s="2">
        <f>$E38*$B$11+$B$10+'Станд.норм.распр.'!J31*$B$12*$R38</f>
        <v>309.51394837716362</v>
      </c>
      <c r="Q38" s="2">
        <f>$E38*$B$11+$B$10+'Станд.норм.распр.'!K31*$B$12*$R38</f>
        <v>207.45728211254755</v>
      </c>
      <c r="R38">
        <v>29</v>
      </c>
    </row>
    <row r="39" spans="3:18" x14ac:dyDescent="0.35">
      <c r="C39" s="4" t="s">
        <v>38</v>
      </c>
      <c r="D39" s="4" t="s">
        <v>5</v>
      </c>
      <c r="E39" s="4">
        <v>252</v>
      </c>
      <c r="F39" s="4"/>
      <c r="G39" s="4" t="s">
        <v>5</v>
      </c>
      <c r="H39" s="2">
        <f>$E39*$B$11+$B$10+'Станд.норм.распр.'!B32*$B$12*$R39</f>
        <v>460.84474293375388</v>
      </c>
      <c r="I39" s="2">
        <f>$E39*$B$11+$B$10+'Станд.норм.распр.'!C32*$B$12*$R39</f>
        <v>144.96752415207447</v>
      </c>
      <c r="J39" s="2">
        <f>$E39*$B$11+$B$10+'Станд.норм.распр.'!D32*$B$12*$R39</f>
        <v>234.11774096084991</v>
      </c>
      <c r="K39" s="2">
        <f>$E39*$B$11+$B$10+'Станд.норм.распр.'!E32*$B$12*$R39</f>
        <v>375.16065590817016</v>
      </c>
      <c r="L39" s="2">
        <f>$E39*$B$11+$B$10+'Станд.норм.распр.'!F32*$B$12*$R39</f>
        <v>280.19375436552218</v>
      </c>
      <c r="M39" s="2">
        <f>$E39*$B$11+$B$10+'Станд.норм.распр.'!G32*$B$12*$R39</f>
        <v>280.15067842270946</v>
      </c>
      <c r="N39" s="2">
        <f>$E39*$B$11+$B$10+'Станд.норм.распр.'!H32*$B$12*$R39</f>
        <v>260.32203409622889</v>
      </c>
      <c r="O39" s="2">
        <f>$E39*$B$11+$B$10+'Станд.норм.распр.'!I32*$B$12*$R39</f>
        <v>164.88498063618317</v>
      </c>
      <c r="P39" s="2">
        <f>$E39*$B$11+$B$10+'Станд.норм.распр.'!J32*$B$12*$R39</f>
        <v>325.83757588791195</v>
      </c>
      <c r="Q39" s="2">
        <f>$E39*$B$11+$B$10+'Станд.норм.распр.'!K32*$B$12*$R39</f>
        <v>125.28007887804415</v>
      </c>
      <c r="R39">
        <v>30</v>
      </c>
    </row>
    <row r="40" spans="3:18" x14ac:dyDescent="0.35">
      <c r="C40" s="4" t="s">
        <v>39</v>
      </c>
      <c r="D40" s="4" t="s">
        <v>5</v>
      </c>
      <c r="E40" s="4">
        <v>110</v>
      </c>
      <c r="F40" s="4"/>
      <c r="G40" s="4" t="s">
        <v>5</v>
      </c>
      <c r="H40" s="2">
        <f>$E40*$B$11+$B$10+'Станд.норм.распр.'!B33*$B$12*$R40</f>
        <v>121.3318317340163</v>
      </c>
      <c r="I40" s="2">
        <f>$E40*$B$11+$B$10+'Станд.норм.распр.'!C33*$B$12*$R40</f>
        <v>-45.150998347788118</v>
      </c>
      <c r="J40" s="2">
        <f>$E40*$B$11+$B$10+'Станд.норм.распр.'!D33*$B$12*$R40</f>
        <v>321.75063307560049</v>
      </c>
      <c r="K40" s="2">
        <f>$E40*$B$11+$B$10+'Станд.норм.распр.'!E33*$B$12*$R40</f>
        <v>19.238238847639877</v>
      </c>
      <c r="L40" s="2">
        <f>$E40*$B$11+$B$10+'Станд.норм.распр.'!F33*$B$12*$R40</f>
        <v>41.095756669994444</v>
      </c>
      <c r="M40" s="2">
        <f>$E40*$B$11+$B$10+'Станд.норм.распр.'!G33*$B$12*$R40</f>
        <v>212.64045682156575</v>
      </c>
      <c r="N40" s="2">
        <f>$E40*$B$11+$B$10+'Станд.норм.распр.'!H33*$B$12*$R40</f>
        <v>112.68660256147268</v>
      </c>
      <c r="O40" s="2">
        <f>$E40*$B$11+$B$10+'Станд.норм.распр.'!I33*$B$12*$R40</f>
        <v>113.59016053657979</v>
      </c>
      <c r="P40" s="2">
        <f>$E40*$B$11+$B$10+'Станд.норм.распр.'!J33*$B$12*$R40</f>
        <v>68.182830374018522</v>
      </c>
      <c r="Q40" s="2">
        <f>$E40*$B$11+$B$10+'Станд.норм.распр.'!K33*$B$12*$R40</f>
        <v>-139.81714590871707</v>
      </c>
      <c r="R40">
        <v>31</v>
      </c>
    </row>
    <row r="41" spans="3:18" x14ac:dyDescent="0.35">
      <c r="C41" s="4" t="s">
        <v>40</v>
      </c>
      <c r="D41" s="4" t="s">
        <v>5</v>
      </c>
      <c r="E41" s="4">
        <v>185</v>
      </c>
      <c r="F41" s="4"/>
      <c r="G41" s="4" t="s">
        <v>5</v>
      </c>
      <c r="H41" s="2">
        <f>$E41*$B$11+$B$10+'Станд.норм.распр.'!B34*$B$12*$R41</f>
        <v>256.22688044141978</v>
      </c>
      <c r="I41" s="2">
        <f>$E41*$B$11+$B$10+'Станд.норм.распр.'!C34*$B$12*$R41</f>
        <v>246.51456842012703</v>
      </c>
      <c r="J41" s="2">
        <f>$E41*$B$11+$B$10+'Станд.норм.распр.'!D34*$B$12*$R41</f>
        <v>140.64196365699172</v>
      </c>
      <c r="K41" s="2">
        <f>$E41*$B$11+$B$10+'Станд.норм.распр.'!E34*$B$12*$R41</f>
        <v>182.07377651752904</v>
      </c>
      <c r="L41" s="2">
        <f>$E41*$B$11+$B$10+'Станд.норм.распр.'!F34*$B$12*$R41</f>
        <v>220.03823177702725</v>
      </c>
      <c r="M41" s="2">
        <f>$E41*$B$11+$B$10+'Станд.норм.распр.'!G34*$B$12*$R41</f>
        <v>384.54486856982112</v>
      </c>
      <c r="N41" s="2">
        <f>$E41*$B$11+$B$10+'Станд.норм.распр.'!H34*$B$12*$R41</f>
        <v>-142.01763916015625</v>
      </c>
      <c r="O41" s="2">
        <f>$E41*$B$11+$B$10+'Станд.норм.распр.'!I34*$B$12*$R41</f>
        <v>171.71546859946102</v>
      </c>
      <c r="P41" s="2">
        <f>$E41*$B$11+$B$10+'Станд.норм.распр.'!J34*$B$12*$R41</f>
        <v>8.7998654581606388</v>
      </c>
      <c r="Q41" s="2">
        <f>$E41*$B$11+$B$10+'Станд.норм.распр.'!K34*$B$12*$R41</f>
        <v>184.75631295051426</v>
      </c>
      <c r="R41">
        <v>32</v>
      </c>
    </row>
    <row r="42" spans="3:18" x14ac:dyDescent="0.35">
      <c r="C42" s="4" t="s">
        <v>41</v>
      </c>
      <c r="D42" s="4" t="s">
        <v>5</v>
      </c>
      <c r="E42" s="4">
        <v>281</v>
      </c>
      <c r="F42" s="4"/>
      <c r="G42" s="4" t="s">
        <v>5</v>
      </c>
      <c r="H42" s="2">
        <f>$E42*$B$11+$B$10+'Станд.норм.распр.'!B35*$B$12*$R42</f>
        <v>172.23102137050591</v>
      </c>
      <c r="I42" s="2">
        <f>$E42*$B$11+$B$10+'Станд.норм.распр.'!C35*$B$12*$R42</f>
        <v>265.98638388405379</v>
      </c>
      <c r="J42" s="2">
        <f>$E42*$B$11+$B$10+'Станд.норм.распр.'!D35*$B$12*$R42</f>
        <v>182.35489111303468</v>
      </c>
      <c r="K42" s="2">
        <f>$E42*$B$11+$B$10+'Станд.норм.распр.'!E35*$B$12*$R42</f>
        <v>305.35962710983586</v>
      </c>
      <c r="L42" s="2">
        <f>$E42*$B$11+$B$10+'Станд.норм.распр.'!F35*$B$12*$R42</f>
        <v>277.76822722499492</v>
      </c>
      <c r="M42" s="2">
        <f>$E42*$B$11+$B$10+'Станд.норм.распр.'!G35*$B$12*$R42</f>
        <v>185.14635545271449</v>
      </c>
      <c r="N42" s="2">
        <f>$E42*$B$11+$B$10+'Станд.норм.распр.'!H35*$B$12*$R42</f>
        <v>458.5959601723589</v>
      </c>
      <c r="O42" s="2">
        <f>$E42*$B$11+$B$10+'Станд.норм.распр.'!I35*$B$12*$R42</f>
        <v>380.04215926831239</v>
      </c>
      <c r="P42" s="2">
        <f>$E42*$B$11+$B$10+'Станд.норм.распр.'!J35*$B$12*$R42</f>
        <v>319.27282922025188</v>
      </c>
      <c r="Q42" s="2">
        <f>$E42*$B$11+$B$10+'Станд.норм.распр.'!K35*$B$12*$R42</f>
        <v>343.95278649809188</v>
      </c>
      <c r="R42">
        <v>33</v>
      </c>
    </row>
    <row r="43" spans="3:18" x14ac:dyDescent="0.35">
      <c r="C43" s="4" t="s">
        <v>42</v>
      </c>
      <c r="D43" s="4" t="s">
        <v>5</v>
      </c>
      <c r="E43" s="4">
        <v>315</v>
      </c>
      <c r="F43" s="4"/>
      <c r="G43" s="4" t="s">
        <v>5</v>
      </c>
      <c r="H43" s="2">
        <f>$E43*$B$11+$B$10+'Станд.норм.распр.'!B36*$B$12*$R43</f>
        <v>289.5291718277731</v>
      </c>
      <c r="I43" s="2">
        <f>$E43*$B$11+$B$10+'Станд.норм.распр.'!C36*$B$12*$R43</f>
        <v>454.47033335675951</v>
      </c>
      <c r="J43" s="2">
        <f>$E43*$B$11+$B$10+'Станд.норм.распр.'!D36*$B$12*$R43</f>
        <v>382.6732277093397</v>
      </c>
      <c r="K43" s="2">
        <f>$E43*$B$11+$B$10+'Станд.норм.распр.'!E36*$B$12*$R43</f>
        <v>384.86778158129891</v>
      </c>
      <c r="L43" s="2">
        <f>$E43*$B$11+$B$10+'Станд.норм.распр.'!F36*$B$12*$R43</f>
        <v>416.88194506149739</v>
      </c>
      <c r="M43" s="2">
        <f>$E43*$B$11+$B$10+'Станд.норм.распр.'!G36*$B$12*$R43</f>
        <v>211.85553214763058</v>
      </c>
      <c r="N43" s="2">
        <f>$E43*$B$11+$B$10+'Станд.норм.распр.'!H36*$B$12*$R43</f>
        <v>154.14682457502931</v>
      </c>
      <c r="O43" s="2">
        <f>$E43*$B$11+$B$10+'Станд.норм.распр.'!I36*$B$12*$R43</f>
        <v>261.96418366907164</v>
      </c>
      <c r="P43" s="2">
        <f>$E43*$B$11+$B$10+'Станд.норм.распр.'!J36*$B$12*$R43</f>
        <v>149.81546519719996</v>
      </c>
      <c r="Q43" s="2">
        <f>$E43*$B$11+$B$10+'Станд.норм.распр.'!K36*$B$12*$R43</f>
        <v>437.85086382285226</v>
      </c>
      <c r="R43">
        <v>34</v>
      </c>
    </row>
    <row r="44" spans="3:18" x14ac:dyDescent="0.35">
      <c r="C44" s="4" t="s">
        <v>43</v>
      </c>
      <c r="D44" s="4" t="s">
        <v>5</v>
      </c>
      <c r="E44" s="4">
        <v>883</v>
      </c>
      <c r="F44" s="4"/>
      <c r="G44" s="4" t="s">
        <v>5</v>
      </c>
      <c r="H44" s="2">
        <f>$E44*$B$11+$B$10+'Станд.норм.распр.'!B37*$B$12*$R44</f>
        <v>900.72572045915877</v>
      </c>
      <c r="I44" s="2">
        <f>$E44*$B$11+$B$10+'Станд.норм.распр.'!C37*$B$12*$R44</f>
        <v>930.99729663823382</v>
      </c>
      <c r="J44" s="2">
        <f>$E44*$B$11+$B$10+'Станд.норм.распр.'!D37*$B$12*$R44</f>
        <v>876.73020341913798</v>
      </c>
      <c r="K44" s="2">
        <f>$E44*$B$11+$B$10+'Станд.норм.распр.'!E37*$B$12*$R44</f>
        <v>802.62863373878645</v>
      </c>
      <c r="L44" s="2">
        <f>$E44*$B$11+$B$10+'Станд.норм.распр.'!F37*$B$12*$R44</f>
        <v>799.6672735150787</v>
      </c>
      <c r="M44" s="2">
        <f>$E44*$B$11+$B$10+'Станд.норм.распр.'!G37*$B$12*$R44</f>
        <v>915.19923724423279</v>
      </c>
      <c r="N44" s="2">
        <f>$E44*$B$11+$B$10+'Станд.норм.распр.'!H37*$B$12*$R44</f>
        <v>836.74634932482149</v>
      </c>
      <c r="O44" s="2">
        <f>$E44*$B$11+$B$10+'Станд.норм.распр.'!I37*$B$12*$R44</f>
        <v>962.35133067399147</v>
      </c>
      <c r="P44" s="2">
        <f>$E44*$B$11+$B$10+'Станд.норм.распр.'!J37*$B$12*$R44</f>
        <v>765.85061204401427</v>
      </c>
      <c r="Q44" s="2">
        <f>$E44*$B$11+$B$10+'Станд.норм.распр.'!K37*$B$12*$R44</f>
        <v>852.75223394251952</v>
      </c>
      <c r="R44">
        <v>35</v>
      </c>
    </row>
    <row r="45" spans="3:18" x14ac:dyDescent="0.35">
      <c r="C45" s="4" t="s">
        <v>44</v>
      </c>
      <c r="D45" s="4" t="s">
        <v>5</v>
      </c>
      <c r="E45" s="4">
        <v>75</v>
      </c>
      <c r="F45" s="4"/>
      <c r="G45" s="4" t="s">
        <v>5</v>
      </c>
      <c r="H45" s="2">
        <f>$E45*$B$11+$B$10+'Станд.норм.распр.'!B38*$B$12*$R45</f>
        <v>98.215710148680955</v>
      </c>
      <c r="I45" s="2">
        <f>$E45*$B$11+$B$10+'Станд.норм.распр.'!C38*$B$12*$R45</f>
        <v>82.004339982406236</v>
      </c>
      <c r="J45" s="2">
        <f>$E45*$B$11+$B$10+'Станд.норм.распр.'!D38*$B$12*$R45</f>
        <v>230.03030522773042</v>
      </c>
      <c r="K45" s="2">
        <f>$E45*$B$11+$B$10+'Станд.норм.распр.'!E38*$B$12*$R45</f>
        <v>10.625886114896275</v>
      </c>
      <c r="L45" s="2">
        <f>$E45*$B$11+$B$10+'Станд.норм.распр.'!F38*$B$12*$R45</f>
        <v>226.03253031661734</v>
      </c>
      <c r="M45" s="2">
        <f>$E45*$B$11+$B$10+'Станд.норм.распр.'!G38*$B$12*$R45</f>
        <v>31.11214968044078</v>
      </c>
      <c r="N45" s="2">
        <f>$E45*$B$11+$B$10+'Станд.норм.распр.'!H38*$B$12*$R45</f>
        <v>237.5406214366667</v>
      </c>
      <c r="O45" s="2">
        <f>$E45*$B$11+$B$10+'Станд.норм.распр.'!I38*$B$12*$R45</f>
        <v>181.03619853605051</v>
      </c>
      <c r="P45" s="2">
        <f>$E45*$B$11+$B$10+'Станд.норм.распр.'!J38*$B$12*$R45</f>
        <v>54.85691903118277</v>
      </c>
      <c r="Q45" s="2">
        <f>$E45*$B$11+$B$10+'Станд.норм.распр.'!K38*$B$12*$R45</f>
        <v>183.45352631399874</v>
      </c>
      <c r="R45">
        <v>36</v>
      </c>
    </row>
    <row r="46" spans="3:18" x14ac:dyDescent="0.35">
      <c r="C46" s="4" t="s">
        <v>45</v>
      </c>
      <c r="D46" s="4" t="s">
        <v>5</v>
      </c>
      <c r="E46" s="4">
        <v>763</v>
      </c>
      <c r="F46" s="4"/>
      <c r="G46" s="4" t="s">
        <v>5</v>
      </c>
      <c r="H46" s="2">
        <f>$E46*$B$11+$B$10+'Станд.норм.распр.'!B39*$B$12*$R46</f>
        <v>724.92912090514437</v>
      </c>
      <c r="I46" s="2">
        <f>$E46*$B$11+$B$10+'Станд.норм.распр.'!C39*$B$12*$R46</f>
        <v>962.45575627894141</v>
      </c>
      <c r="J46" s="2">
        <f>$E46*$B$11+$B$10+'Станд.норм.распр.'!D39*$B$12*$R46</f>
        <v>888.56254046608228</v>
      </c>
      <c r="K46" s="2">
        <f>$E46*$B$11+$B$10+'Станд.норм.распр.'!E39*$B$12*$R46</f>
        <v>725.67138454236556</v>
      </c>
      <c r="L46" s="2">
        <f>$E46*$B$11+$B$10+'Станд.норм.распр.'!F39*$B$12*$R46</f>
        <v>723.28432929556584</v>
      </c>
      <c r="M46" s="2">
        <f>$E46*$B$11+$B$10+'Станд.норм.распр.'!G39*$B$12*$R46</f>
        <v>644.83506343880435</v>
      </c>
      <c r="N46" s="2">
        <f>$E46*$B$11+$B$10+'Станд.норм.распр.'!H39*$B$12*$R46</f>
        <v>674.85017575439997</v>
      </c>
      <c r="O46" s="2">
        <f>$E46*$B$11+$B$10+'Станд.норм.распр.'!I39*$B$12*$R46</f>
        <v>787.20342480541149</v>
      </c>
      <c r="P46" s="2">
        <f>$E46*$B$11+$B$10+'Станд.норм.распр.'!J39*$B$12*$R46</f>
        <v>672.01008982796338</v>
      </c>
      <c r="Q46" s="2">
        <f>$E46*$B$11+$B$10+'Станд.норм.распр.'!K39*$B$12*$R46</f>
        <v>824.33288548476412</v>
      </c>
      <c r="R46">
        <v>37</v>
      </c>
    </row>
    <row r="47" spans="3:18" x14ac:dyDescent="0.35">
      <c r="C47" s="4" t="s">
        <v>46</v>
      </c>
      <c r="D47" s="4" t="s">
        <v>5</v>
      </c>
      <c r="E47" s="4">
        <v>438</v>
      </c>
      <c r="F47" s="4"/>
      <c r="G47" s="4" t="s">
        <v>5</v>
      </c>
      <c r="H47" s="2">
        <f>$E47*$B$11+$B$10+'Станд.норм.распр.'!B40*$B$12*$R47</f>
        <v>563.06867120059906</v>
      </c>
      <c r="I47" s="2">
        <f>$E47*$B$11+$B$10+'Станд.норм.распр.'!C40*$B$12*$R47</f>
        <v>270.27658345235977</v>
      </c>
      <c r="J47" s="2">
        <f>$E47*$B$11+$B$10+'Станд.норм.распр.'!D40*$B$12*$R47</f>
        <v>634.32984117884189</v>
      </c>
      <c r="K47" s="2">
        <f>$E47*$B$11+$B$10+'Станд.норм.распр.'!E40*$B$12*$R47</f>
        <v>607.12617252778728</v>
      </c>
      <c r="L47" s="2">
        <f>$E47*$B$11+$B$10+'Станд.норм.распр.'!F40*$B$12*$R47</f>
        <v>520.4075125415693</v>
      </c>
      <c r="M47" s="2">
        <f>$E47*$B$11+$B$10+'Станд.норм.распр.'!G40*$B$12*$R47</f>
        <v>420.27572019054787</v>
      </c>
      <c r="N47" s="2">
        <f>$E47*$B$11+$B$10+'Станд.норм.распр.'!H40*$B$12*$R47</f>
        <v>456.64154297031928</v>
      </c>
      <c r="O47" s="2">
        <f>$E47*$B$11+$B$10+'Станд.норм.распр.'!I40*$B$12*$R47</f>
        <v>554.70176104921848</v>
      </c>
      <c r="P47" s="2">
        <f>$E47*$B$11+$B$10+'Станд.норм.распр.'!J40*$B$12*$R47</f>
        <v>506.50344403169584</v>
      </c>
      <c r="Q47" s="2">
        <f>$E47*$B$11+$B$10+'Станд.норм.распр.'!K40*$B$12*$R47</f>
        <v>469.97976480401121</v>
      </c>
      <c r="R47">
        <v>38</v>
      </c>
    </row>
    <row r="48" spans="3:18" x14ac:dyDescent="0.35">
      <c r="C48" s="4" t="s">
        <v>47</v>
      </c>
      <c r="D48" s="4" t="s">
        <v>5</v>
      </c>
      <c r="E48" s="4">
        <v>752</v>
      </c>
      <c r="F48" s="4"/>
      <c r="G48" s="4" t="s">
        <v>5</v>
      </c>
      <c r="H48" s="2">
        <f>$E48*$B$11+$B$10+'Станд.норм.распр.'!B41*$B$12*$R48</f>
        <v>680.65124636914697</v>
      </c>
      <c r="I48" s="2">
        <f>$E48*$B$11+$B$10+'Станд.норм.распр.'!C41*$B$12*$R48</f>
        <v>816.4160998086154</v>
      </c>
      <c r="J48" s="2">
        <f>$E48*$B$11+$B$10+'Станд.норм.распр.'!D41*$B$12*$R48</f>
        <v>901.92336060054367</v>
      </c>
      <c r="K48" s="2">
        <f>$E48*$B$11+$B$10+'Станд.норм.распр.'!E41*$B$12*$R48</f>
        <v>726.01167730054294</v>
      </c>
      <c r="L48" s="2">
        <f>$E48*$B$11+$B$10+'Станд.норм.распр.'!F41*$B$12*$R48</f>
        <v>809.07481319000362</v>
      </c>
      <c r="M48" s="2">
        <f>$E48*$B$11+$B$10+'Станд.норм.распр.'!G41*$B$12*$R48</f>
        <v>599.90108397242147</v>
      </c>
      <c r="N48" s="2">
        <f>$E48*$B$11+$B$10+'Станд.норм.распр.'!H41*$B$12*$R48</f>
        <v>445.45952491089702</v>
      </c>
      <c r="O48" s="2">
        <f>$E48*$B$11+$B$10+'Станд.норм.распр.'!I41*$B$12*$R48</f>
        <v>605.77762482635444</v>
      </c>
      <c r="P48" s="2">
        <f>$E48*$B$11+$B$10+'Станд.норм.распр.'!J41*$B$12*$R48</f>
        <v>778.19863221803098</v>
      </c>
      <c r="Q48" s="2">
        <f>$E48*$B$11+$B$10+'Станд.норм.распр.'!K41*$B$12*$R48</f>
        <v>675.39055848383578</v>
      </c>
      <c r="R48">
        <v>39</v>
      </c>
    </row>
    <row r="49" spans="3:18" x14ac:dyDescent="0.35">
      <c r="C49" s="4" t="s">
        <v>48</v>
      </c>
      <c r="D49" s="4" t="s">
        <v>5</v>
      </c>
      <c r="E49" s="4">
        <v>607</v>
      </c>
      <c r="F49" s="4"/>
      <c r="G49" s="4" t="s">
        <v>5</v>
      </c>
      <c r="H49" s="2">
        <f>$E49*$B$11+$B$10+'Станд.норм.распр.'!B42*$B$12*$R49</f>
        <v>609.70231180870906</v>
      </c>
      <c r="I49" s="2">
        <f>$E49*$B$11+$B$10+'Станд.норм.распр.'!C42*$B$12*$R49</f>
        <v>653.68465704121627</v>
      </c>
      <c r="J49" s="2">
        <f>$E49*$B$11+$B$10+'Станд.норм.распр.'!D42*$B$12*$R49</f>
        <v>309.73113217949867</v>
      </c>
      <c r="K49" s="2">
        <f>$E49*$B$11+$B$10+'Станд.норм.распр.'!E42*$B$12*$R49</f>
        <v>716.72628229460679</v>
      </c>
      <c r="L49" s="2">
        <f>$E49*$B$11+$B$10+'Станд.норм.распр.'!F42*$B$12*$R49</f>
        <v>464.34723236924037</v>
      </c>
      <c r="M49" s="2">
        <f>$E49*$B$11+$B$10+'Станд.норм.распр.'!G42*$B$12*$R49</f>
        <v>402.08704496361315</v>
      </c>
      <c r="N49" s="2">
        <f>$E49*$B$11+$B$10+'Станд.норм.распр.'!H42*$B$12*$R49</f>
        <v>630.21914803865366</v>
      </c>
      <c r="O49" s="2">
        <f>$E49*$B$11+$B$10+'Станд.норм.распр.'!I42*$B$12*$R49</f>
        <v>855.9310857122764</v>
      </c>
      <c r="P49" s="2">
        <f>$E49*$B$11+$B$10+'Станд.норм.распр.'!J42*$B$12*$R49</f>
        <v>502.99320838856511</v>
      </c>
      <c r="Q49" s="2">
        <f>$E49*$B$11+$B$10+'Станд.норм.распр.'!K42*$B$12*$R49</f>
        <v>527.32501109456643</v>
      </c>
      <c r="R49">
        <v>40</v>
      </c>
    </row>
    <row r="50" spans="3:18" x14ac:dyDescent="0.35">
      <c r="C50" s="4" t="s">
        <v>49</v>
      </c>
      <c r="D50" s="4" t="s">
        <v>5</v>
      </c>
      <c r="E50" s="4">
        <v>733</v>
      </c>
      <c r="F50" s="4"/>
      <c r="G50" s="4" t="s">
        <v>5</v>
      </c>
      <c r="H50" s="2">
        <f>$E50*$B$11+$B$10+'Станд.норм.распр.'!B43*$B$12*$R50</f>
        <v>703.51954847443267</v>
      </c>
      <c r="I50" s="2">
        <f>$E50*$B$11+$B$10+'Станд.норм.распр.'!C43*$B$12*$R50</f>
        <v>787.57033762973151</v>
      </c>
      <c r="J50" s="2">
        <f>$E50*$B$11+$B$10+'Станд.норм.распр.'!D43*$B$12*$R50</f>
        <v>805.81878038661671</v>
      </c>
      <c r="K50" s="2">
        <f>$E50*$B$11+$B$10+'Станд.норм.распр.'!E43*$B$12*$R50</f>
        <v>716.86398443067446</v>
      </c>
      <c r="L50" s="2">
        <f>$E50*$B$11+$B$10+'Станд.норм.распр.'!F43*$B$12*$R50</f>
        <v>875.7456943525176</v>
      </c>
      <c r="M50" s="2">
        <f>$E50*$B$11+$B$10+'Станд.норм.распр.'!G43*$B$12*$R50</f>
        <v>647.22792687040055</v>
      </c>
      <c r="N50" s="2">
        <f>$E50*$B$11+$B$10+'Станд.норм.распр.'!H43*$B$12*$R50</f>
        <v>731.45686557414592</v>
      </c>
      <c r="O50" s="2">
        <f>$E50*$B$11+$B$10+'Станд.норм.распр.'!I43*$B$12*$R50</f>
        <v>720.27231809930527</v>
      </c>
      <c r="P50" s="2">
        <f>$E50*$B$11+$B$10+'Станд.норм.распр.'!J43*$B$12*$R50</f>
        <v>810.56654944305831</v>
      </c>
      <c r="Q50" s="2">
        <f>$E50*$B$11+$B$10+'Станд.норм.распр.'!K43*$B$12*$R50</f>
        <v>1049.7513780277222</v>
      </c>
      <c r="R50">
        <v>41</v>
      </c>
    </row>
    <row r="51" spans="3:18" x14ac:dyDescent="0.35">
      <c r="C51" s="4" t="s">
        <v>50</v>
      </c>
      <c r="D51" s="4" t="s">
        <v>5</v>
      </c>
      <c r="E51" s="4">
        <v>526</v>
      </c>
      <c r="F51" s="4"/>
      <c r="G51" s="4" t="s">
        <v>5</v>
      </c>
      <c r="H51" s="2">
        <f>$E51*$B$11+$B$10+'Станд.норм.распр.'!B44*$B$12*$R51</f>
        <v>522.15200591101893</v>
      </c>
      <c r="I51" s="2">
        <f>$E51*$B$11+$B$10+'Станд.норм.распр.'!C44*$B$12*$R51</f>
        <v>498.26525988985668</v>
      </c>
      <c r="J51" s="2">
        <f>$E51*$B$11+$B$10+'Станд.норм.распр.'!D44*$B$12*$R51</f>
        <v>513.20418102998519</v>
      </c>
      <c r="K51" s="2">
        <f>$E51*$B$11+$B$10+'Станд.норм.распр.'!E44*$B$12*$R51</f>
        <v>485.14842043526005</v>
      </c>
      <c r="L51" s="2">
        <f>$E51*$B$11+$B$10+'Станд.норм.распр.'!F44*$B$12*$R51</f>
        <v>637.52640413981908</v>
      </c>
      <c r="M51" s="2">
        <f>$E51*$B$11+$B$10+'Станд.норм.распр.'!G44*$B$12*$R51</f>
        <v>522.31602191179991</v>
      </c>
      <c r="N51" s="2">
        <f>$E51*$B$11+$B$10+'Станд.норм.распр.'!H44*$B$12*$R51</f>
        <v>494.74471731239464</v>
      </c>
      <c r="O51" s="2">
        <f>$E51*$B$11+$B$10+'Станд.норм.распр.'!I44*$B$12*$R51</f>
        <v>846.27985367272049</v>
      </c>
      <c r="P51" s="2">
        <f>$E51*$B$11+$B$10+'Станд.норм.распр.'!J44*$B$12*$R51</f>
        <v>652.55342121049762</v>
      </c>
      <c r="Q51" s="2">
        <f>$E51*$B$11+$B$10+'Станд.норм.распр.'!K44*$B$12*$R51</f>
        <v>488.57456428388832</v>
      </c>
      <c r="R51">
        <v>42</v>
      </c>
    </row>
    <row r="52" spans="3:18" x14ac:dyDescent="0.35">
      <c r="C52" s="4" t="s">
        <v>51</v>
      </c>
      <c r="D52" s="4" t="s">
        <v>5</v>
      </c>
      <c r="E52" s="4">
        <v>270</v>
      </c>
      <c r="F52" s="4"/>
      <c r="G52" s="4" t="s">
        <v>5</v>
      </c>
      <c r="H52" s="2">
        <f>$E52*$B$11+$B$10+'Станд.норм.распр.'!B45*$B$12*$R52</f>
        <v>315.14062834964716</v>
      </c>
      <c r="I52" s="2">
        <f>$E52*$B$11+$B$10+'Станд.норм.распр.'!C45*$B$12*$R52</f>
        <v>186.1056218832091</v>
      </c>
      <c r="J52" s="2">
        <f>$E52*$B$11+$B$10+'Станд.норм.распр.'!D45*$B$12*$R52</f>
        <v>151.25105870090192</v>
      </c>
      <c r="K52" s="2">
        <f>$E52*$B$11+$B$10+'Станд.норм.распр.'!E45*$B$12*$R52</f>
        <v>293.87887844229408</v>
      </c>
      <c r="L52" s="2">
        <f>$E52*$B$11+$B$10+'Станд.норм.распр.'!F45*$B$12*$R52</f>
        <v>242.02380268895649</v>
      </c>
      <c r="M52" s="2">
        <f>$E52*$B$11+$B$10+'Станд.норм.распр.'!G45*$B$12*$R52</f>
        <v>437.15638435521396</v>
      </c>
      <c r="N52" s="2">
        <f>$E52*$B$11+$B$10+'Станд.норм.распр.'!H45*$B$12*$R52</f>
        <v>322.63709750174894</v>
      </c>
      <c r="O52" s="2">
        <f>$E52*$B$11+$B$10+'Станд.норм.распр.'!I45*$B$12*$R52</f>
        <v>151.22055424860446</v>
      </c>
      <c r="P52" s="2">
        <f>$E52*$B$11+$B$10+'Станд.норм.распр.'!J45*$B$12*$R52</f>
        <v>224.98853264102945</v>
      </c>
      <c r="Q52" s="2">
        <f>$E52*$B$11+$B$10+'Станд.норм.распр.'!K45*$B$12*$R52</f>
        <v>222.3739491046872</v>
      </c>
      <c r="R52">
        <v>43</v>
      </c>
    </row>
    <row r="53" spans="3:18" x14ac:dyDescent="0.35">
      <c r="C53" s="4" t="s">
        <v>52</v>
      </c>
      <c r="D53" s="4" t="s">
        <v>5</v>
      </c>
      <c r="E53" s="4">
        <v>728</v>
      </c>
      <c r="F53" s="4"/>
      <c r="G53" s="4" t="s">
        <v>5</v>
      </c>
      <c r="H53" s="2">
        <f>$E53*$B$11+$B$10+'Станд.норм.распр.'!B46*$B$12*$R53</f>
        <v>678.6321939912159</v>
      </c>
      <c r="I53" s="2">
        <f>$E53*$B$11+$B$10+'Станд.норм.распр.'!C46*$B$12*$R53</f>
        <v>755.5803570325952</v>
      </c>
      <c r="J53" s="2">
        <f>$E53*$B$11+$B$10+'Станд.норм.распр.'!D46*$B$12*$R53</f>
        <v>571.96273544512223</v>
      </c>
      <c r="K53" s="2">
        <f>$E53*$B$11+$B$10+'Станд.норм.распр.'!E46*$B$12*$R53</f>
        <v>686.38958807830932</v>
      </c>
      <c r="L53" s="2">
        <f>$E53*$B$11+$B$10+'Станд.норм.распр.'!F46*$B$12*$R53</f>
        <v>877.50348782399669</v>
      </c>
      <c r="M53" s="2">
        <f>$E53*$B$11+$B$10+'Станд.норм.распр.'!G46*$B$12*$R53</f>
        <v>826.96359938971</v>
      </c>
      <c r="N53" s="2">
        <f>$E53*$B$11+$B$10+'Станд.норм.распр.'!H46*$B$12*$R53</f>
        <v>745.44950919196708</v>
      </c>
      <c r="O53" s="2">
        <f>$E53*$B$11+$B$10+'Станд.норм.распр.'!I46*$B$12*$R53</f>
        <v>788.80480784981046</v>
      </c>
      <c r="P53" s="2">
        <f>$E53*$B$11+$B$10+'Станд.норм.распр.'!J46*$B$12*$R53</f>
        <v>592.7745753765339</v>
      </c>
      <c r="Q53" s="2">
        <f>$E53*$B$11+$B$10+'Станд.норм.распр.'!K46*$B$12*$R53</f>
        <v>765.65507995517692</v>
      </c>
      <c r="R53">
        <v>44</v>
      </c>
    </row>
    <row r="54" spans="3:18" x14ac:dyDescent="0.35">
      <c r="C54" s="4" t="s">
        <v>53</v>
      </c>
      <c r="D54" s="4" t="s">
        <v>5</v>
      </c>
      <c r="E54" s="4">
        <v>643</v>
      </c>
      <c r="F54" s="4"/>
      <c r="G54" s="4" t="s">
        <v>5</v>
      </c>
      <c r="H54" s="2">
        <f>$E54*$B$11+$B$10+'Станд.норм.распр.'!B47*$B$12*$R54</f>
        <v>490.86036134714959</v>
      </c>
      <c r="I54" s="2">
        <f>$E54*$B$11+$B$10+'Станд.норм.распр.'!C47*$B$12*$R54</f>
        <v>575.19824842122034</v>
      </c>
      <c r="J54" s="2">
        <f>$E54*$B$11+$B$10+'Станд.норм.распр.'!D47*$B$12*$R54</f>
        <v>761.98617754518637</v>
      </c>
      <c r="K54" s="2">
        <f>$E54*$B$11+$B$10+'Станд.норм.распр.'!E47*$B$12*$R54</f>
        <v>550.11147416327731</v>
      </c>
      <c r="L54" s="2">
        <f>$E54*$B$11+$B$10+'Станд.норм.распр.'!F47*$B$12*$R54</f>
        <v>758.55105016264133</v>
      </c>
      <c r="M54" s="2">
        <f>$E54*$B$11+$B$10+'Станд.норм.распр.'!G47*$B$12*$R54</f>
        <v>670.20495172575465</v>
      </c>
      <c r="N54" s="2">
        <f>$E54*$B$11+$B$10+'Станд.норм.распр.'!H47*$B$12*$R54</f>
        <v>668.47296117477526</v>
      </c>
      <c r="O54" s="2">
        <f>$E54*$B$11+$B$10+'Станд.норм.распр.'!I47*$B$12*$R54</f>
        <v>528.79379374237033</v>
      </c>
      <c r="P54" s="2">
        <f>$E54*$B$11+$B$10+'Станд.норм.распр.'!J47*$B$12*$R54</f>
        <v>620.57241044887633</v>
      </c>
      <c r="Q54" s="2">
        <f>$E54*$B$11+$B$10+'Станд.норм.распр.'!K47*$B$12*$R54</f>
        <v>532.19730481534498</v>
      </c>
      <c r="R54">
        <v>45</v>
      </c>
    </row>
    <row r="55" spans="3:18" x14ac:dyDescent="0.35">
      <c r="C55" s="4" t="s">
        <v>54</v>
      </c>
      <c r="D55" s="4" t="s">
        <v>5</v>
      </c>
      <c r="E55" s="4">
        <v>847</v>
      </c>
      <c r="F55" s="4"/>
      <c r="G55" s="4" t="s">
        <v>5</v>
      </c>
      <c r="H55" s="2">
        <f>$E55*$B$11+$B$10+'Станд.норм.распр.'!B48*$B$12*$R55</f>
        <v>738.36928730254294</v>
      </c>
      <c r="I55" s="2">
        <f>$E55*$B$11+$B$10+'Станд.норм.распр.'!C48*$B$12*$R55</f>
        <v>912.63041165968752</v>
      </c>
      <c r="J55" s="2">
        <f>$E55*$B$11+$B$10+'Станд.норм.распр.'!D48*$B$12*$R55</f>
        <v>733.64570833457401</v>
      </c>
      <c r="K55" s="2">
        <f>$E55*$B$11+$B$10+'Станд.норм.распр.'!E48*$B$12*$R55</f>
        <v>969.10909131277003</v>
      </c>
      <c r="L55" s="2">
        <f>$E55*$B$11+$B$10+'Станд.норм.распр.'!F48*$B$12*$R55</f>
        <v>899.74286036688136</v>
      </c>
      <c r="M55" s="2">
        <f>$E55*$B$11+$B$10+'Станд.норм.распр.'!G48*$B$12*$R55</f>
        <v>659.79264216532465</v>
      </c>
      <c r="N55" s="2">
        <f>$E55*$B$11+$B$10+'Станд.норм.распр.'!H48*$B$12*$R55</f>
        <v>964.62413874344202</v>
      </c>
      <c r="O55" s="2">
        <f>$E55*$B$11+$B$10+'Станд.норм.распр.'!I48*$B$12*$R55</f>
        <v>917.65160685265437</v>
      </c>
      <c r="P55" s="2">
        <f>$E55*$B$11+$B$10+'Станд.норм.распр.'!J48*$B$12*$R55</f>
        <v>944.55630185786868</v>
      </c>
      <c r="Q55" s="2">
        <f>$E55*$B$11+$B$10+'Станд.норм.распр.'!K48*$B$12*$R55</f>
        <v>708.22799623949686</v>
      </c>
      <c r="R55">
        <v>46</v>
      </c>
    </row>
    <row r="56" spans="3:18" x14ac:dyDescent="0.35">
      <c r="C56" s="4" t="s">
        <v>55</v>
      </c>
      <c r="D56" s="4" t="s">
        <v>5</v>
      </c>
      <c r="E56" s="4">
        <v>980</v>
      </c>
      <c r="F56" s="4"/>
      <c r="G56" s="4" t="s">
        <v>5</v>
      </c>
      <c r="H56" s="2">
        <f>$E56*$B$11+$B$10+'Станд.норм.распр.'!B49*$B$12*$R56</f>
        <v>1004.2633696012053</v>
      </c>
      <c r="I56" s="2">
        <f>$E56*$B$11+$B$10+'Станд.норм.распр.'!C49*$B$12*$R56</f>
        <v>966.99494381576369</v>
      </c>
      <c r="J56" s="2">
        <f>$E56*$B$11+$B$10+'Станд.норм.распр.'!D49*$B$12*$R56</f>
        <v>781.97511672991095</v>
      </c>
      <c r="K56" s="2">
        <f>$E56*$B$11+$B$10+'Станд.норм.распр.'!E49*$B$12*$R56</f>
        <v>675.73251587967388</v>
      </c>
      <c r="L56" s="2">
        <f>$E56*$B$11+$B$10+'Станд.норм.распр.'!F49*$B$12*$R56</f>
        <v>1258.3673364825081</v>
      </c>
      <c r="M56" s="2">
        <f>$E56*$B$11+$B$10+'Станд.норм.распр.'!G49*$B$12*$R56</f>
        <v>1090.6284828488715</v>
      </c>
      <c r="N56" s="2">
        <f>$E56*$B$11+$B$10+'Станд.норм.распр.'!H49*$B$12*$R56</f>
        <v>978.00311866743141</v>
      </c>
      <c r="O56" s="2">
        <f>$E56*$B$11+$B$10+'Станд.норм.распр.'!I49*$B$12*$R56</f>
        <v>855.29241776023991</v>
      </c>
      <c r="P56" s="2">
        <f>$E56*$B$11+$B$10+'Станд.норм.распр.'!J49*$B$12*$R56</f>
        <v>948.82527580560418</v>
      </c>
      <c r="Q56" s="2">
        <f>$E56*$B$11+$B$10+'Станд.норм.распр.'!K49*$B$12*$R56</f>
        <v>797.26245846907841</v>
      </c>
      <c r="R56">
        <v>47</v>
      </c>
    </row>
    <row r="57" spans="3:18" x14ac:dyDescent="0.35">
      <c r="C57" s="4" t="s">
        <v>56</v>
      </c>
      <c r="D57" s="4" t="s">
        <v>5</v>
      </c>
      <c r="E57" s="4">
        <v>337</v>
      </c>
      <c r="F57" s="4"/>
      <c r="G57" s="4" t="s">
        <v>5</v>
      </c>
      <c r="H57" s="2">
        <f>$E57*$B$11+$B$10+'Станд.норм.распр.'!B50*$B$12*$R57</f>
        <v>377.30267814919353</v>
      </c>
      <c r="I57" s="2">
        <f>$E57*$B$11+$B$10+'Станд.норм.распр.'!C50*$B$12*$R57</f>
        <v>225.91339240176603</v>
      </c>
      <c r="J57" s="2">
        <f>$E57*$B$11+$B$10+'Станд.норм.распр.'!D50*$B$12*$R57</f>
        <v>290.58665115013719</v>
      </c>
      <c r="K57" s="2">
        <f>$E57*$B$11+$B$10+'Станд.норм.распр.'!E50*$B$12*$R57</f>
        <v>483.68540030065924</v>
      </c>
      <c r="L57" s="2">
        <f>$E57*$B$11+$B$10+'Станд.норм.распр.'!F50*$B$12*$R57</f>
        <v>359.63126885332167</v>
      </c>
      <c r="M57" s="2">
        <f>$E57*$B$11+$B$10+'Станд.норм.распр.'!G50*$B$12*$R57</f>
        <v>333.87099557882175</v>
      </c>
      <c r="N57" s="2">
        <f>$E57*$B$11+$B$10+'Станд.норм.распр.'!H50*$B$12*$R57</f>
        <v>605.1974576767534</v>
      </c>
      <c r="O57" s="2">
        <f>$E57*$B$11+$B$10+'Станд.норм.распр.'!I50*$B$12*$R57</f>
        <v>430.93048754241318</v>
      </c>
      <c r="P57" s="2">
        <f>$E57*$B$11+$B$10+'Станд.норм.распр.'!J50*$B$12*$R57</f>
        <v>403.34551323764026</v>
      </c>
      <c r="Q57" s="2">
        <f>$E57*$B$11+$B$10+'Станд.норм.распр.'!K50*$B$12*$R57</f>
        <v>281.42631146335043</v>
      </c>
      <c r="R57">
        <v>48</v>
      </c>
    </row>
    <row r="58" spans="3:18" x14ac:dyDescent="0.35">
      <c r="C58" s="4" t="s">
        <v>57</v>
      </c>
      <c r="D58" s="4" t="s">
        <v>5</v>
      </c>
      <c r="E58" s="4">
        <v>972</v>
      </c>
      <c r="F58" s="4"/>
      <c r="G58" s="4" t="s">
        <v>5</v>
      </c>
      <c r="H58" s="2">
        <f>$E58*$B$11+$B$10+'Станд.норм.распр.'!B51*$B$12*$R58</f>
        <v>1223.2950579835451</v>
      </c>
      <c r="I58" s="2">
        <f>$E58*$B$11+$B$10+'Станд.норм.распр.'!C51*$B$12*$R58</f>
        <v>1052.4722021762718</v>
      </c>
      <c r="J58" s="2">
        <f>$E58*$B$11+$B$10+'Станд.норм.распр.'!D51*$B$12*$R58</f>
        <v>1196.9576693935087</v>
      </c>
      <c r="K58" s="2">
        <f>$E58*$B$11+$B$10+'Станд.норм.распр.'!E51*$B$12*$R58</f>
        <v>972.62647849321434</v>
      </c>
      <c r="L58" s="2">
        <f>$E58*$B$11+$B$10+'Станд.норм.распр.'!F51*$B$12*$R58</f>
        <v>777.32156155782286</v>
      </c>
      <c r="M58" s="2">
        <f>$E58*$B$11+$B$10+'Станд.норм.распр.'!G51*$B$12*$R58</f>
        <v>770.1548024250078</v>
      </c>
      <c r="N58" s="2">
        <f>$E58*$B$11+$B$10+'Станд.норм.распр.'!H51*$B$12*$R58</f>
        <v>907.10651575484371</v>
      </c>
      <c r="O58" s="2">
        <f>$E58*$B$11+$B$10+'Станд.норм.распр.'!I51*$B$12*$R58</f>
        <v>985.01385350921191</v>
      </c>
      <c r="P58" s="2">
        <f>$E58*$B$11+$B$10+'Станд.норм.распр.'!J51*$B$12*$R58</f>
        <v>919.61074231569364</v>
      </c>
      <c r="Q58" s="2">
        <f>$E58*$B$11+$B$10+'Станд.норм.распр.'!K51*$B$12*$R58</f>
        <v>965.66841689657304</v>
      </c>
      <c r="R58">
        <v>49</v>
      </c>
    </row>
    <row r="59" spans="3:18" x14ac:dyDescent="0.35">
      <c r="C59" s="4" t="s">
        <v>58</v>
      </c>
      <c r="D59" s="4" t="s">
        <v>5</v>
      </c>
      <c r="E59" s="4">
        <v>174</v>
      </c>
      <c r="F59" s="4"/>
      <c r="G59" s="4" t="s">
        <v>5</v>
      </c>
      <c r="H59" s="2">
        <f>$E59*$B$11+$B$10+'Станд.норм.распр.'!B52*$B$12*$R59</f>
        <v>245.89182566030649</v>
      </c>
      <c r="I59" s="2">
        <f>$E59*$B$11+$B$10+'Станд.норм.распр.'!C52*$B$12*$R59</f>
        <v>88.373027655121405</v>
      </c>
      <c r="J59" s="2">
        <f>$E59*$B$11+$B$10+'Станд.норм.распр.'!D52*$B$12*$R59</f>
        <v>319.09568996395683</v>
      </c>
      <c r="K59" s="2">
        <f>$E59*$B$11+$B$10+'Станд.норм.распр.'!E52*$B$12*$R59</f>
        <v>20.022795514320023</v>
      </c>
      <c r="L59" s="2">
        <f>$E59*$B$11+$B$10+'Станд.норм.распр.'!F52*$B$12*$R59</f>
        <v>2.5577687561744824</v>
      </c>
      <c r="M59" s="2">
        <f>$E59*$B$11+$B$10+'Станд.норм.распр.'!G52*$B$12*$R59</f>
        <v>135.3757706861652</v>
      </c>
      <c r="N59" s="2">
        <f>$E59*$B$11+$B$10+'Станд.норм.распр.'!H52*$B$12*$R59</f>
        <v>-63.03976398287341</v>
      </c>
      <c r="O59" s="2">
        <f>$E59*$B$11+$B$10+'Станд.норм.распр.'!I52*$B$12*$R59</f>
        <v>220.0036274085287</v>
      </c>
      <c r="P59" s="2">
        <f>$E59*$B$11+$B$10+'Станд.норм.распр.'!J52*$B$12*$R59</f>
        <v>276.551238423212</v>
      </c>
      <c r="Q59" s="2">
        <f>$E59*$B$11+$B$10+'Станд.норм.распр.'!K52*$B$12*$R59</f>
        <v>226.35792582930299</v>
      </c>
      <c r="R59">
        <v>50</v>
      </c>
    </row>
    <row r="60" spans="3:18" x14ac:dyDescent="0.35">
      <c r="C60" s="4" t="s">
        <v>59</v>
      </c>
      <c r="D60" s="4" t="s">
        <v>5</v>
      </c>
      <c r="E60" s="4">
        <v>227</v>
      </c>
      <c r="F60" s="4"/>
      <c r="G60" s="4" t="s">
        <v>5</v>
      </c>
      <c r="H60" s="2">
        <f>$E60*$B$11+$B$10+'Станд.норм.распр.'!B53*$B$12*$R60</f>
        <v>1.0358896913239732</v>
      </c>
      <c r="I60" s="2">
        <f>$E60*$B$11+$B$10+'Станд.норм.распр.'!C53*$B$12*$R60</f>
        <v>497.76367883232888</v>
      </c>
      <c r="J60" s="2">
        <f>$E60*$B$11+$B$10+'Станд.норм.распр.'!D53*$B$12*$R60</f>
        <v>57.109205282089533</v>
      </c>
      <c r="K60" s="2">
        <f>$E60*$B$11+$B$10+'Станд.норм.распр.'!E53*$B$12*$R60</f>
        <v>313.12858505835175</v>
      </c>
      <c r="L60" s="2">
        <f>$E60*$B$11+$B$10+'Станд.норм.распр.'!F53*$B$12*$R60</f>
        <v>103.30163628232549</v>
      </c>
      <c r="M60" s="2">
        <f>$E60*$B$11+$B$10+'Станд.норм.распр.'!G53*$B$12*$R60</f>
        <v>433.33389636309585</v>
      </c>
      <c r="N60" s="2">
        <f>$E60*$B$11+$B$10+'Станд.норм.распр.'!H53*$B$12*$R60</f>
        <v>193.86759869185335</v>
      </c>
      <c r="O60" s="2">
        <f>$E60*$B$11+$B$10+'Станд.норм.распр.'!I53*$B$12*$R60</f>
        <v>-86.717970806872472</v>
      </c>
      <c r="P60" s="2">
        <f>$E60*$B$11+$B$10+'Станд.норм.распр.'!J53*$B$12*$R60</f>
        <v>216.06888845845242</v>
      </c>
      <c r="Q60" s="2">
        <f>$E60*$B$11+$B$10+'Станд.норм.распр.'!K53*$B$12*$R60</f>
        <v>198.88457496627234</v>
      </c>
      <c r="R60">
        <v>51</v>
      </c>
    </row>
    <row r="61" spans="3:18" x14ac:dyDescent="0.35">
      <c r="C61" s="4" t="s">
        <v>60</v>
      </c>
      <c r="D61" s="4" t="s">
        <v>5</v>
      </c>
      <c r="E61" s="4">
        <v>271</v>
      </c>
      <c r="F61" s="4"/>
      <c r="G61" s="4" t="s">
        <v>5</v>
      </c>
      <c r="H61" s="2">
        <f>$E61*$B$11+$B$10+'Станд.норм.распр.'!B54*$B$12*$R61</f>
        <v>27.658365418436006</v>
      </c>
      <c r="I61" s="2">
        <f>$E61*$B$11+$B$10+'Станд.норм.распр.'!C54*$B$12*$R61</f>
        <v>320.42325018014526</v>
      </c>
      <c r="J61" s="2">
        <f>$E61*$B$11+$B$10+'Станд.норм.распр.'!D54*$B$12*$R61</f>
        <v>258.12588717858307</v>
      </c>
      <c r="K61" s="2">
        <f>$E61*$B$11+$B$10+'Станд.норм.распр.'!E54*$B$12*$R61</f>
        <v>465.3390846059192</v>
      </c>
      <c r="L61" s="2">
        <f>$E61*$B$11+$B$10+'Станд.норм.распр.'!F54*$B$12*$R61</f>
        <v>339.0604064250947</v>
      </c>
      <c r="M61" s="2">
        <f>$E61*$B$11+$B$10+'Станд.норм.распр.'!G54*$B$12*$R61</f>
        <v>175.14366789587075</v>
      </c>
      <c r="N61" s="2">
        <f>$E61*$B$11+$B$10+'Станд.норм.распр.'!H54*$B$12*$R61</f>
        <v>215.48527400486637</v>
      </c>
      <c r="O61" s="2">
        <f>$E61*$B$11+$B$10+'Станд.норм.распр.'!I54*$B$12*$R61</f>
        <v>143.57847647520248</v>
      </c>
      <c r="P61" s="2">
        <f>$E61*$B$11+$B$10+'Станд.норм.распр.'!J54*$B$12*$R61</f>
        <v>393.94093108316883</v>
      </c>
      <c r="Q61" s="2">
        <f>$E61*$B$11+$B$10+'Станд.норм.распр.'!K54*$B$12*$R61</f>
        <v>190.68077409965844</v>
      </c>
      <c r="R61">
        <v>52</v>
      </c>
    </row>
    <row r="62" spans="3:18" x14ac:dyDescent="0.35">
      <c r="C62" s="4" t="s">
        <v>61</v>
      </c>
      <c r="D62" s="4" t="s">
        <v>5</v>
      </c>
      <c r="E62" s="4">
        <v>323</v>
      </c>
      <c r="F62" s="4"/>
      <c r="G62" s="4" t="s">
        <v>5</v>
      </c>
      <c r="H62" s="2">
        <f>$E62*$B$11+$B$10+'Станд.норм.распр.'!B55*$B$12*$R62</f>
        <v>363.82443934344337</v>
      </c>
      <c r="I62" s="2">
        <f>$E62*$B$11+$B$10+'Станд.норм.распр.'!C55*$B$12*$R62</f>
        <v>214.65487773384666</v>
      </c>
      <c r="J62" s="2">
        <f>$E62*$B$11+$B$10+'Станд.норм.распр.'!D55*$B$12*$R62</f>
        <v>411.4107778397738</v>
      </c>
      <c r="K62" s="2">
        <f>$E62*$B$11+$B$10+'Станд.норм.распр.'!E55*$B$12*$R62</f>
        <v>370.92043524098699</v>
      </c>
      <c r="L62" s="2">
        <f>$E62*$B$11+$B$10+'Станд.норм.распр.'!F55*$B$12*$R62</f>
        <v>558.06087769014994</v>
      </c>
      <c r="M62" s="2">
        <f>$E62*$B$11+$B$10+'Станд.норм.распр.'!G55*$B$12*$R62</f>
        <v>217.2249528732209</v>
      </c>
      <c r="N62" s="2">
        <f>$E62*$B$11+$B$10+'Станд.норм.распр.'!H55*$B$12*$R62</f>
        <v>59.02234900277108</v>
      </c>
      <c r="O62" s="2">
        <f>$E62*$B$11+$B$10+'Станд.норм.распр.'!I55*$B$12*$R62</f>
        <v>475.15471490187338</v>
      </c>
      <c r="P62" s="2">
        <f>$E62*$B$11+$B$10+'Станд.норм.распр.'!J55*$B$12*$R62</f>
        <v>309.94974988716422</v>
      </c>
      <c r="Q62" s="2">
        <f>$E62*$B$11+$B$10+'Станд.норм.распр.'!K55*$B$12*$R62</f>
        <v>235.95479572322802</v>
      </c>
      <c r="R62">
        <v>53</v>
      </c>
    </row>
    <row r="63" spans="3:18" x14ac:dyDescent="0.35">
      <c r="C63" s="4" t="s">
        <v>62</v>
      </c>
      <c r="D63" s="4" t="s">
        <v>5</v>
      </c>
      <c r="E63" s="4">
        <v>383</v>
      </c>
      <c r="F63" s="4"/>
      <c r="G63" s="4" t="s">
        <v>5</v>
      </c>
      <c r="H63" s="2">
        <f>$E63*$B$11+$B$10+'Станд.норм.распр.'!B56*$B$12*$R63</f>
        <v>78.028348701773211</v>
      </c>
      <c r="I63" s="2">
        <f>$E63*$B$11+$B$10+'Станд.норм.распр.'!C56*$B$12*$R63</f>
        <v>647.44311811751686</v>
      </c>
      <c r="J63" s="2">
        <f>$E63*$B$11+$B$10+'Станд.норм.распр.'!D56*$B$12*$R63</f>
        <v>636.50105102511588</v>
      </c>
      <c r="K63" s="2">
        <f>$E63*$B$11+$B$10+'Станд.норм.распр.'!E56*$B$12*$R63</f>
        <v>417.0005551657232</v>
      </c>
      <c r="L63" s="2">
        <f>$E63*$B$11+$B$10+'Станд.норм.распр.'!F56*$B$12*$R63</f>
        <v>369.27994114535977</v>
      </c>
      <c r="M63" s="2">
        <f>$E63*$B$11+$B$10+'Станд.норм.распр.'!G56*$B$12*$R63</f>
        <v>323.49203519857838</v>
      </c>
      <c r="N63" s="2">
        <f>$E63*$B$11+$B$10+'Станд.норм.распр.'!H56*$B$12*$R63</f>
        <v>254.2385042886599</v>
      </c>
      <c r="O63" s="2">
        <f>$E63*$B$11+$B$10+'Станд.норм.распр.'!I56*$B$12*$R63</f>
        <v>542.1416532897274</v>
      </c>
      <c r="P63" s="2">
        <f>$E63*$B$11+$B$10+'Станд.норм.распр.'!J56*$B$12*$R63</f>
        <v>370.40026354021393</v>
      </c>
      <c r="Q63" s="2">
        <f>$E63*$B$11+$B$10+'Станд.норм.распр.'!K56*$B$12*$R63</f>
        <v>184.5987632748438</v>
      </c>
      <c r="R63">
        <v>54</v>
      </c>
    </row>
    <row r="64" spans="3:18" x14ac:dyDescent="0.35">
      <c r="C64" s="4" t="s">
        <v>63</v>
      </c>
      <c r="D64" s="4" t="s">
        <v>5</v>
      </c>
      <c r="E64" s="4">
        <v>294</v>
      </c>
      <c r="F64" s="4"/>
      <c r="G64" s="4" t="s">
        <v>5</v>
      </c>
      <c r="H64" s="2">
        <f>$E64*$B$11+$B$10+'Станд.норм.распр.'!B57*$B$12*$R64</f>
        <v>241.70026728979428</v>
      </c>
      <c r="I64" s="2">
        <f>$E64*$B$11+$B$10+'Станд.норм.распр.'!C57*$B$12*$R64</f>
        <v>281.68739556503715</v>
      </c>
      <c r="J64" s="2">
        <f>$E64*$B$11+$B$10+'Станд.норм.распр.'!D57*$B$12*$R64</f>
        <v>429.32294201973127</v>
      </c>
      <c r="K64" s="2">
        <f>$E64*$B$11+$B$10+'Станд.норм.распр.'!E57*$B$12*$R64</f>
        <v>596.07022360223345</v>
      </c>
      <c r="L64" s="2">
        <f>$E64*$B$11+$B$10+'Станд.норм.распр.'!F57*$B$12*$R64</f>
        <v>358.10469791767537</v>
      </c>
      <c r="M64" s="2">
        <f>$E64*$B$11+$B$10+'Станд.норм.распр.'!G57*$B$12*$R64</f>
        <v>406.527446395281</v>
      </c>
      <c r="N64" s="2">
        <f>$E64*$B$11+$B$10+'Станд.норм.распр.'!H57*$B$12*$R64</f>
        <v>288.84531183191706</v>
      </c>
      <c r="O64" s="2">
        <f>$E64*$B$11+$B$10+'Станд.норм.распр.'!I57*$B$12*$R64</f>
        <v>279.83669890245073</v>
      </c>
      <c r="P64" s="2">
        <f>$E64*$B$11+$B$10+'Станд.норм.распр.'!J57*$B$12*$R64</f>
        <v>199.75051182403743</v>
      </c>
      <c r="Q64" s="2">
        <f>$E64*$B$11+$B$10+'Станд.норм.распр.'!K57*$B$12*$R64</f>
        <v>466.55972421076149</v>
      </c>
      <c r="R64">
        <v>55</v>
      </c>
    </row>
    <row r="65" spans="3:18" x14ac:dyDescent="0.35">
      <c r="C65" s="4" t="s">
        <v>64</v>
      </c>
      <c r="D65" s="4" t="s">
        <v>5</v>
      </c>
      <c r="E65" s="4">
        <v>331</v>
      </c>
      <c r="F65" s="4"/>
      <c r="G65" s="4" t="s">
        <v>5</v>
      </c>
      <c r="H65" s="2">
        <f>$E65*$B$11+$B$10+'Станд.норм.распр.'!B58*$B$12*$R65</f>
        <v>363.34663677681237</v>
      </c>
      <c r="I65" s="2">
        <f>$E65*$B$11+$B$10+'Станд.норм.распр.'!C58*$B$12*$R65</f>
        <v>311.30385837005451</v>
      </c>
      <c r="J65" s="2">
        <f>$E65*$B$11+$B$10+'Станд.норм.распр.'!D58*$B$12*$R65</f>
        <v>439.01039321045391</v>
      </c>
      <c r="K65" s="2">
        <f>$E65*$B$11+$B$10+'Станд.норм.распр.'!E58*$B$12*$R65</f>
        <v>302.74484929523896</v>
      </c>
      <c r="L65" s="2">
        <f>$E65*$B$11+$B$10+'Станд.норм.распр.'!F58*$B$12*$R65</f>
        <v>610.30173314921558</v>
      </c>
      <c r="M65" s="2">
        <f>$E65*$B$11+$B$10+'Станд.норм.распр.'!G58*$B$12*$R65</f>
        <v>261.70331880112644</v>
      </c>
      <c r="N65" s="2">
        <f>$E65*$B$11+$B$10+'Станд.норм.распр.'!H58*$B$12*$R65</f>
        <v>177.01605615857989</v>
      </c>
      <c r="O65" s="2">
        <f>$E65*$B$11+$B$10+'Станд.норм.распр.'!I58*$B$12*$R65</f>
        <v>241.2507383718621</v>
      </c>
      <c r="P65" s="2">
        <f>$E65*$B$11+$B$10+'Станд.норм.распр.'!J58*$B$12*$R65</f>
        <v>461.30854757339694</v>
      </c>
      <c r="Q65" s="2">
        <f>$E65*$B$11+$B$10+'Станд.норм.распр.'!K58*$B$12*$R65</f>
        <v>320.11631633341312</v>
      </c>
      <c r="R65">
        <v>56</v>
      </c>
    </row>
    <row r="66" spans="3:18" x14ac:dyDescent="0.35">
      <c r="C66" s="4" t="s">
        <v>65</v>
      </c>
      <c r="D66" s="4" t="s">
        <v>5</v>
      </c>
      <c r="E66" s="4">
        <v>908</v>
      </c>
      <c r="F66" s="4"/>
      <c r="G66" s="4" t="s">
        <v>5</v>
      </c>
      <c r="H66" s="2">
        <f>$E66*$B$11+$B$10+'Станд.норм.распр.'!B59*$B$12*$R66</f>
        <v>845.04673739153077</v>
      </c>
      <c r="I66" s="2">
        <f>$E66*$B$11+$B$10+'Станд.норм.распр.'!C59*$B$12*$R66</f>
        <v>706.44372160692001</v>
      </c>
      <c r="J66" s="2">
        <f>$E66*$B$11+$B$10+'Станд.норм.распр.'!D59*$B$12*$R66</f>
        <v>893.7351481346559</v>
      </c>
      <c r="K66" s="2">
        <f>$E66*$B$11+$B$10+'Станд.норм.распр.'!E59*$B$12*$R66</f>
        <v>800.30279380131105</v>
      </c>
      <c r="L66" s="2">
        <f>$E66*$B$11+$B$10+'Станд.норм.распр.'!F59*$B$12*$R66</f>
        <v>833.73433997272514</v>
      </c>
      <c r="M66" s="2">
        <f>$E66*$B$11+$B$10+'Станд.норм.распр.'!G59*$B$12*$R66</f>
        <v>648.17602949566208</v>
      </c>
      <c r="N66" s="2">
        <f>$E66*$B$11+$B$10+'Станд.норм.распр.'!H59*$B$12*$R66</f>
        <v>1321.9571167393588</v>
      </c>
      <c r="O66" s="2">
        <f>$E66*$B$11+$B$10+'Станд.норм.распр.'!I59*$B$12*$R66</f>
        <v>768.88955507107312</v>
      </c>
      <c r="P66" s="2">
        <f>$E66*$B$11+$B$10+'Станд.норм.распр.'!J59*$B$12*$R66</f>
        <v>1021.0667858483794</v>
      </c>
      <c r="Q66" s="2">
        <f>$E66*$B$11+$B$10+'Станд.норм.распр.'!K59*$B$12*$R66</f>
        <v>780.91852744924836</v>
      </c>
      <c r="R66">
        <v>57</v>
      </c>
    </row>
    <row r="67" spans="3:18" x14ac:dyDescent="0.35">
      <c r="C67" s="4" t="s">
        <v>66</v>
      </c>
      <c r="D67" s="4" t="s">
        <v>5</v>
      </c>
      <c r="E67" s="4">
        <v>152</v>
      </c>
      <c r="F67" s="4"/>
      <c r="G67" s="4" t="s">
        <v>5</v>
      </c>
      <c r="H67" s="2">
        <f>$E67*$B$11+$B$10+'Станд.норм.распр.'!B60*$B$12*$R67</f>
        <v>-6.4114277142798528</v>
      </c>
      <c r="I67" s="2">
        <f>$E67*$B$11+$B$10+'Станд.норм.распр.'!C60*$B$12*$R67</f>
        <v>-104.93046768032946</v>
      </c>
      <c r="J67" s="2">
        <f>$E67*$B$11+$B$10+'Станд.норм.распр.'!D60*$B$12*$R67</f>
        <v>407.03874281235039</v>
      </c>
      <c r="K67" s="2">
        <f>$E67*$B$11+$B$10+'Станд.норм.распр.'!E60*$B$12*$R67</f>
        <v>70.290189503342845</v>
      </c>
      <c r="L67" s="2">
        <f>$E67*$B$11+$B$10+'Станд.норм.распр.'!F60*$B$12*$R67</f>
        <v>21.731726226338651</v>
      </c>
      <c r="M67" s="2">
        <f>$E67*$B$11+$B$10+'Станд.норм.распр.'!G60*$B$12*$R67</f>
        <v>137.35623331513489</v>
      </c>
      <c r="N67" s="2">
        <f>$E67*$B$11+$B$10+'Станд.норм.распр.'!H60*$B$12*$R67</f>
        <v>41.880242779851699</v>
      </c>
      <c r="O67" s="2">
        <f>$E67*$B$11+$B$10+'Станд.норм.распр.'!I60*$B$12*$R67</f>
        <v>-55.059699045610614</v>
      </c>
      <c r="P67" s="2">
        <f>$E67*$B$11+$B$10+'Станд.норм.распр.'!J60*$B$12*$R67</f>
        <v>-68.981134356814437</v>
      </c>
      <c r="Q67" s="2">
        <f>$E67*$B$11+$B$10+'Станд.норм.распр.'!K60*$B$12*$R67</f>
        <v>-14.632623172015883</v>
      </c>
      <c r="R67">
        <v>58</v>
      </c>
    </row>
    <row r="68" spans="3:18" x14ac:dyDescent="0.35">
      <c r="C68" s="4" t="s">
        <v>67</v>
      </c>
      <c r="D68" s="4" t="s">
        <v>5</v>
      </c>
      <c r="E68" s="4">
        <v>593</v>
      </c>
      <c r="F68" s="4"/>
      <c r="G68" s="4" t="s">
        <v>5</v>
      </c>
      <c r="H68" s="2">
        <f>$E68*$B$11+$B$10+'Станд.норм.распр.'!B61*$B$12*$R68</f>
        <v>717.54423950253113</v>
      </c>
      <c r="I68" s="2">
        <f>$E68*$B$11+$B$10+'Станд.норм.распр.'!C61*$B$12*$R68</f>
        <v>556.78562923887512</v>
      </c>
      <c r="J68" s="2">
        <f>$E68*$B$11+$B$10+'Станд.норм.распр.'!D61*$B$12*$R68</f>
        <v>375.69376538769575</v>
      </c>
      <c r="K68" s="2">
        <f>$E68*$B$11+$B$10+'Станд.норм.распр.'!E61*$B$12*$R68</f>
        <v>529.62700103918905</v>
      </c>
      <c r="L68" s="2">
        <f>$E68*$B$11+$B$10+'Станд.норм.распр.'!F61*$B$12*$R68</f>
        <v>487.49295481386071</v>
      </c>
      <c r="M68" s="2">
        <f>$E68*$B$11+$B$10+'Станд.норм.распр.'!G61*$B$12*$R68</f>
        <v>806.05678570165765</v>
      </c>
      <c r="N68" s="2">
        <f>$E68*$B$11+$B$10+'Станд.норм.распр.'!H61*$B$12*$R68</f>
        <v>742.85863413635525</v>
      </c>
      <c r="O68" s="2">
        <f>$E68*$B$11+$B$10+'Станд.норм.распр.'!I61*$B$12*$R68</f>
        <v>524.14440554159228</v>
      </c>
      <c r="P68" s="2">
        <f>$E68*$B$11+$B$10+'Станд.норм.распр.'!J61*$B$12*$R68</f>
        <v>798.08462580942432</v>
      </c>
      <c r="Q68" s="2">
        <f>$E68*$B$11+$B$10+'Станд.норм.распр.'!K61*$B$12*$R68</f>
        <v>480.47547047014791</v>
      </c>
      <c r="R68">
        <v>59</v>
      </c>
    </row>
    <row r="69" spans="3:18" x14ac:dyDescent="0.35">
      <c r="C69" s="4" t="s">
        <v>68</v>
      </c>
      <c r="D69" s="4" t="s">
        <v>5</v>
      </c>
      <c r="E69" s="4">
        <v>392</v>
      </c>
      <c r="F69" s="4"/>
      <c r="G69" s="4" t="s">
        <v>5</v>
      </c>
      <c r="H69" s="2">
        <f>$E69*$B$11+$B$10+'Станд.норм.распр.'!B62*$B$12*$R69</f>
        <v>478.66909093840513</v>
      </c>
      <c r="I69" s="2">
        <f>$E69*$B$11+$B$10+'Станд.норм.распр.'!C62*$B$12*$R69</f>
        <v>121.90001265821047</v>
      </c>
      <c r="J69" s="2">
        <f>$E69*$B$11+$B$10+'Станд.норм.распр.'!D62*$B$12*$R69</f>
        <v>561.12565411580727</v>
      </c>
      <c r="K69" s="2">
        <f>$E69*$B$11+$B$10+'Станд.норм.распр.'!E62*$B$12*$R69</f>
        <v>416.24642230430618</v>
      </c>
      <c r="L69" s="2">
        <f>$E69*$B$11+$B$10+'Станд.норм.распр.'!F62*$B$12*$R69</f>
        <v>544.19623515428918</v>
      </c>
      <c r="M69" s="2">
        <f>$E69*$B$11+$B$10+'Станд.норм.распр.'!G62*$B$12*$R69</f>
        <v>229.56776896875817</v>
      </c>
      <c r="N69" s="2">
        <f>$E69*$B$11+$B$10+'Станд.норм.распр.'!H62*$B$12*$R69</f>
        <v>768.6154106920585</v>
      </c>
      <c r="O69" s="2">
        <f>$E69*$B$11+$B$10+'Станд.норм.распр.'!I62*$B$12*$R69</f>
        <v>428.16710114834132</v>
      </c>
      <c r="P69" s="2">
        <f>$E69*$B$11+$B$10+'Станд.норм.распр.'!J62*$B$12*$R69</f>
        <v>486.70720511267427</v>
      </c>
      <c r="Q69" s="2">
        <f>$E69*$B$11+$B$10+'Станд.норм.распр.'!K62*$B$12*$R69</f>
        <v>535.52687981550116</v>
      </c>
      <c r="R69">
        <v>60</v>
      </c>
    </row>
    <row r="70" spans="3:18" x14ac:dyDescent="0.35">
      <c r="C70" s="4" t="s">
        <v>69</v>
      </c>
      <c r="D70" s="4" t="s">
        <v>5</v>
      </c>
      <c r="E70" s="4">
        <v>407</v>
      </c>
      <c r="F70" s="4"/>
      <c r="G70" s="4" t="s">
        <v>5</v>
      </c>
      <c r="H70" s="2">
        <f>$E70*$B$11+$B$10+'Станд.норм.распр.'!B63*$B$12*$R70</f>
        <v>721.0104520348832</v>
      </c>
      <c r="I70" s="2">
        <f>$E70*$B$11+$B$10+'Станд.норм.распр.'!C63*$B$12*$R70</f>
        <v>491.32957270593033</v>
      </c>
      <c r="J70" s="2">
        <f>$E70*$B$11+$B$10+'Станд.норм.распр.'!D63*$B$12*$R70</f>
        <v>386.70735717494972</v>
      </c>
      <c r="K70" s="2">
        <f>$E70*$B$11+$B$10+'Станд.норм.распр.'!E63*$B$12*$R70</f>
        <v>524.37303976183466</v>
      </c>
      <c r="L70" s="2">
        <f>$E70*$B$11+$B$10+'Станд.норм.распр.'!F63*$B$12*$R70</f>
        <v>518.00409961323021</v>
      </c>
      <c r="M70" s="2">
        <f>$E70*$B$11+$B$10+'Станд.норм.распр.'!G63*$B$12*$R70</f>
        <v>600.13561165795545</v>
      </c>
      <c r="N70" s="2">
        <f>$E70*$B$11+$B$10+'Станд.норм.распр.'!H63*$B$12*$R70</f>
        <v>131.70508806104772</v>
      </c>
      <c r="O70" s="2">
        <f>$E70*$B$11+$B$10+'Станд.норм.распр.'!I63*$B$12*$R70</f>
        <v>269.31022899624077</v>
      </c>
      <c r="P70" s="2">
        <f>$E70*$B$11+$B$10+'Станд.норм.распр.'!J63*$B$12*$R70</f>
        <v>268.05154517240589</v>
      </c>
      <c r="Q70" s="2">
        <f>$E70*$B$11+$B$10+'Станд.норм.распр.'!K63*$B$12*$R70</f>
        <v>367.38125528280216</v>
      </c>
      <c r="R70">
        <v>61</v>
      </c>
    </row>
    <row r="71" spans="3:18" x14ac:dyDescent="0.35">
      <c r="C71" s="4" t="s">
        <v>70</v>
      </c>
      <c r="D71" s="4" t="s">
        <v>5</v>
      </c>
      <c r="E71" s="4">
        <v>211</v>
      </c>
      <c r="F71" s="4"/>
      <c r="G71" s="4" t="s">
        <v>5</v>
      </c>
      <c r="H71" s="2">
        <f>$E71*$B$11+$B$10+'Станд.норм.распр.'!B64*$B$12*$R71</f>
        <v>170.43613908416592</v>
      </c>
      <c r="I71" s="2">
        <f>$E71*$B$11+$B$10+'Станд.норм.распр.'!C64*$B$12*$R71</f>
        <v>357.6026863050065</v>
      </c>
      <c r="J71" s="2">
        <f>$E71*$B$11+$B$10+'Станд.норм.распр.'!D64*$B$12*$R71</f>
        <v>-29.293099290691316</v>
      </c>
      <c r="K71" s="2">
        <f>$E71*$B$11+$B$10+'Станд.норм.распр.'!E64*$B$12*$R71</f>
        <v>81.388840695843101</v>
      </c>
      <c r="L71" s="2">
        <f>$E71*$B$11+$B$10+'Станд.норм.распр.'!F64*$B$12*$R71</f>
        <v>137.43015798926353</v>
      </c>
      <c r="M71" s="2">
        <f>$E71*$B$11+$B$10+'Станд.норм.распр.'!G64*$B$12*$R71</f>
        <v>459.33870452817064</v>
      </c>
      <c r="N71" s="2">
        <f>$E71*$B$11+$B$10+'Станд.норм.распр.'!H64*$B$12*$R71</f>
        <v>294.48092547344277</v>
      </c>
      <c r="O71" s="2">
        <f>$E71*$B$11+$B$10+'Станд.норм.распр.'!I64*$B$12*$R71</f>
        <v>196.12294110291987</v>
      </c>
      <c r="P71" s="2">
        <f>$E71*$B$11+$B$10+'Станд.норм.распр.'!J64*$B$12*$R71</f>
        <v>445.7436777704861</v>
      </c>
      <c r="Q71" s="2">
        <f>$E71*$B$11+$B$10+'Станд.норм.распр.'!K64*$B$12*$R71</f>
        <v>257.11363306644489</v>
      </c>
      <c r="R71">
        <v>62</v>
      </c>
    </row>
    <row r="72" spans="3:18" x14ac:dyDescent="0.35">
      <c r="C72" s="4" t="s">
        <v>71</v>
      </c>
      <c r="D72" s="4" t="s">
        <v>5</v>
      </c>
      <c r="E72" s="4">
        <v>942</v>
      </c>
      <c r="F72" s="4"/>
      <c r="G72" s="4" t="s">
        <v>5</v>
      </c>
      <c r="H72" s="2">
        <f>$E72*$B$11+$B$10+'Станд.норм.распр.'!B65*$B$12*$R72</f>
        <v>905.8106289744901</v>
      </c>
      <c r="I72" s="2">
        <f>$E72*$B$11+$B$10+'Станд.норм.распр.'!C65*$B$12*$R72</f>
        <v>853.07382652949309</v>
      </c>
      <c r="J72" s="2">
        <f>$E72*$B$11+$B$10+'Станд.норм.распр.'!D65*$B$12*$R72</f>
        <v>948.53307279713044</v>
      </c>
      <c r="K72" s="2">
        <f>$E72*$B$11+$B$10+'Станд.норм.распр.'!E65*$B$12*$R72</f>
        <v>1252.9554365942604</v>
      </c>
      <c r="L72" s="2">
        <f>$E72*$B$11+$B$10+'Станд.норм.распр.'!F65*$B$12*$R72</f>
        <v>655.68479532934725</v>
      </c>
      <c r="M72" s="2">
        <f>$E72*$B$11+$B$10+'Станд.норм.распр.'!G65*$B$12*$R72</f>
        <v>1077.8082643087546</v>
      </c>
      <c r="N72" s="2">
        <f>$E72*$B$11+$B$10+'Станд.норм.распр.'!H65*$B$12*$R72</f>
        <v>958.26208655175287</v>
      </c>
      <c r="O72" s="2">
        <f>$E72*$B$11+$B$10+'Станд.норм.распр.'!I65*$B$12*$R72</f>
        <v>681.42083966499195</v>
      </c>
      <c r="P72" s="2">
        <f>$E72*$B$11+$B$10+'Станд.норм.распр.'!J65*$B$12*$R72</f>
        <v>1337.3461812266614</v>
      </c>
      <c r="Q72" s="2">
        <f>$E72*$B$11+$B$10+'Станд.норм.распр.'!K65*$B$12*$R72</f>
        <v>1050.4555522134469</v>
      </c>
      <c r="R72">
        <v>63</v>
      </c>
    </row>
    <row r="73" spans="3:18" x14ac:dyDescent="0.35">
      <c r="C73" s="4" t="s">
        <v>72</v>
      </c>
      <c r="D73" s="4" t="s">
        <v>5</v>
      </c>
      <c r="E73" s="4">
        <v>785</v>
      </c>
      <c r="F73" s="4"/>
      <c r="G73" s="4" t="s">
        <v>5</v>
      </c>
      <c r="H73" s="2">
        <f>$E73*$B$11+$B$10+'Станд.норм.распр.'!B66*$B$12*$R73</f>
        <v>592.30148604884744</v>
      </c>
      <c r="I73" s="2">
        <f>$E73*$B$11+$B$10+'Станд.норм.распр.'!C66*$B$12*$R73</f>
        <v>873.75269782543182</v>
      </c>
      <c r="J73" s="2">
        <f>$E73*$B$11+$B$10+'Станд.норм.распр.'!D66*$B$12*$R73</f>
        <v>1058.9333861023188</v>
      </c>
      <c r="K73" s="2">
        <f>$E73*$B$11+$B$10+'Станд.норм.распр.'!E66*$B$12*$R73</f>
        <v>750.19602360017598</v>
      </c>
      <c r="L73" s="2">
        <f>$E73*$B$11+$B$10+'Станд.норм.распр.'!F66*$B$12*$R73</f>
        <v>879.96287995949444</v>
      </c>
      <c r="M73" s="2">
        <f>$E73*$B$11+$B$10+'Станд.норм.распр.'!G66*$B$12*$R73</f>
        <v>927.36690796911614</v>
      </c>
      <c r="N73" s="2">
        <f>$E73*$B$11+$B$10+'Станд.норм.распр.'!H66*$B$12*$R73</f>
        <v>891.17483281344175</v>
      </c>
      <c r="O73" s="2">
        <f>$E73*$B$11+$B$10+'Станд.норм.распр.'!I66*$B$12*$R73</f>
        <v>407.5110801383853</v>
      </c>
      <c r="P73" s="2">
        <f>$E73*$B$11+$B$10+'Станд.норм.распр.'!J66*$B$12*$R73</f>
        <v>717.9390113921836</v>
      </c>
      <c r="Q73" s="2">
        <f>$E73*$B$11+$B$10+'Станд.норм.распр.'!K66*$B$12*$R73</f>
        <v>673.59808877855539</v>
      </c>
      <c r="R73">
        <v>64</v>
      </c>
    </row>
    <row r="74" spans="3:18" x14ac:dyDescent="0.35">
      <c r="C74" s="4" t="s">
        <v>73</v>
      </c>
      <c r="D74" s="4" t="s">
        <v>5</v>
      </c>
      <c r="E74" s="4">
        <v>896</v>
      </c>
      <c r="F74" s="4"/>
      <c r="G74" s="4" t="s">
        <v>5</v>
      </c>
      <c r="H74" s="2">
        <f>$E74*$B$11+$B$10+'Станд.норм.распр.'!B67*$B$12*$R74</f>
        <v>901.94584844798374</v>
      </c>
      <c r="I74" s="2">
        <f>$E74*$B$11+$B$10+'Станд.норм.распр.'!C67*$B$12*$R74</f>
        <v>956.79489322069276</v>
      </c>
      <c r="J74" s="2">
        <f>$E74*$B$11+$B$10+'Станд.норм.распр.'!D67*$B$12*$R74</f>
        <v>692.28648657631129</v>
      </c>
      <c r="K74" s="2">
        <f>$E74*$B$11+$B$10+'Станд.норм.распр.'!E67*$B$12*$R74</f>
        <v>1141.5815986245871</v>
      </c>
      <c r="L74" s="2">
        <f>$E74*$B$11+$B$10+'Станд.норм.распр.'!F67*$B$12*$R74</f>
        <v>879.52729290268326</v>
      </c>
      <c r="M74" s="2">
        <f>$E74*$B$11+$B$10+'Станд.норм.распр.'!G67*$B$12*$R74</f>
        <v>691.71275458106538</v>
      </c>
      <c r="N74" s="2">
        <f>$E74*$B$11+$B$10+'Станд.норм.распр.'!H67*$B$12*$R74</f>
        <v>594.51794344827067</v>
      </c>
      <c r="O74" s="2">
        <f>$E74*$B$11+$B$10+'Станд.норм.распр.'!I67*$B$12*$R74</f>
        <v>1088.7100227072078</v>
      </c>
      <c r="P74" s="2">
        <f>$E74*$B$11+$B$10+'Станд.норм.распр.'!J67*$B$12*$R74</f>
        <v>1167.4740260267281</v>
      </c>
      <c r="Q74" s="2">
        <f>$E74*$B$11+$B$10+'Станд.норм.распр.'!K67*$B$12*$R74</f>
        <v>903.58723627364088</v>
      </c>
      <c r="R74">
        <v>65</v>
      </c>
    </row>
    <row r="75" spans="3:18" x14ac:dyDescent="0.35">
      <c r="C75" s="4" t="s">
        <v>74</v>
      </c>
      <c r="D75" s="4" t="s">
        <v>5</v>
      </c>
      <c r="E75" s="4">
        <v>920</v>
      </c>
      <c r="F75" s="4"/>
      <c r="G75" s="4" t="s">
        <v>5</v>
      </c>
      <c r="H75" s="2">
        <f>$E75*$B$11+$B$10+'Станд.норм.распр.'!B68*$B$12*$R75</f>
        <v>1023.8568218569271</v>
      </c>
      <c r="I75" s="2">
        <f>$E75*$B$11+$B$10+'Станд.норм.распр.'!C68*$B$12*$R75</f>
        <v>930.02233671493013</v>
      </c>
      <c r="J75" s="2">
        <f>$E75*$B$11+$B$10+'Станд.норм.распр.'!D68*$B$12*$R75</f>
        <v>843.47568718792172</v>
      </c>
      <c r="K75" s="2">
        <f>$E75*$B$11+$B$10+'Станд.норм.распр.'!E68*$B$12*$R75</f>
        <v>743.4115612427122</v>
      </c>
      <c r="L75" s="2">
        <f>$E75*$B$11+$B$10+'Станд.норм.распр.'!F68*$B$12*$R75</f>
        <v>808.60635608539451</v>
      </c>
      <c r="M75" s="2">
        <f>$E75*$B$11+$B$10+'Станд.норм.распр.'!G68*$B$12*$R75</f>
        <v>965.84969315651688</v>
      </c>
      <c r="N75" s="2">
        <f>$E75*$B$11+$B$10+'Станд.норм.распр.'!H68*$B$12*$R75</f>
        <v>861.30112623274908</v>
      </c>
      <c r="O75" s="2">
        <f>$E75*$B$11+$B$10+'Станд.норм.распр.'!I68*$B$12*$R75</f>
        <v>1179.078086178808</v>
      </c>
      <c r="P75" s="2">
        <f>$E75*$B$11+$B$10+'Станд.норм.распр.'!J68*$B$12*$R75</f>
        <v>1127.0336297543254</v>
      </c>
      <c r="Q75" s="2">
        <f>$E75*$B$11+$B$10+'Станд.норм.распр.'!K68*$B$12*$R75</f>
        <v>895.34479076016578</v>
      </c>
      <c r="R75">
        <v>66</v>
      </c>
    </row>
    <row r="76" spans="3:18" x14ac:dyDescent="0.35">
      <c r="C76" s="4" t="s">
        <v>75</v>
      </c>
      <c r="D76" s="4" t="s">
        <v>5</v>
      </c>
      <c r="E76" s="4">
        <v>147</v>
      </c>
      <c r="F76" s="4"/>
      <c r="G76" s="4" t="s">
        <v>5</v>
      </c>
      <c r="H76" s="2">
        <f>$E76*$B$11+$B$10+'Станд.норм.распр.'!B69*$B$12*$R76</f>
        <v>-86.56146516057197</v>
      </c>
      <c r="I76" s="2">
        <f>$E76*$B$11+$B$10+'Станд.норм.распр.'!C69*$B$12*$R76</f>
        <v>284.10457392840181</v>
      </c>
      <c r="J76" s="2">
        <f>$E76*$B$11+$B$10+'Станд.норм.распр.'!D69*$B$12*$R76</f>
        <v>373.77988068203558</v>
      </c>
      <c r="K76" s="2">
        <f>$E76*$B$11+$B$10+'Станд.норм.распр.'!E69*$B$12*$R76</f>
        <v>177.82889020838775</v>
      </c>
      <c r="L76" s="2">
        <f>$E76*$B$11+$B$10+'Станд.норм.распр.'!F69*$B$12*$R76</f>
        <v>214.79001365025761</v>
      </c>
      <c r="M76" s="2">
        <f>$E76*$B$11+$B$10+'Станд.норм.распр.'!G69*$B$12*$R76</f>
        <v>266.9128116746142</v>
      </c>
      <c r="N76" s="2">
        <f>$E76*$B$11+$B$10+'Станд.норм.распр.'!H69*$B$12*$R76</f>
        <v>253.54265975567978</v>
      </c>
      <c r="O76" s="2">
        <f>$E76*$B$11+$B$10+'Станд.норм.распр.'!I69*$B$12*$R76</f>
        <v>125.45930079670507</v>
      </c>
      <c r="P76" s="2">
        <f>$E76*$B$11+$B$10+'Станд.норм.распр.'!J69*$B$12*$R76</f>
        <v>254.31822454140638</v>
      </c>
      <c r="Q76" s="2">
        <f>$E76*$B$11+$B$10+'Станд.норм.распр.'!K69*$B$12*$R76</f>
        <v>577.34941268665716</v>
      </c>
      <c r="R76">
        <v>67</v>
      </c>
    </row>
    <row r="77" spans="3:18" x14ac:dyDescent="0.35">
      <c r="C77" s="4" t="s">
        <v>76</v>
      </c>
      <c r="D77" s="4" t="s">
        <v>5</v>
      </c>
      <c r="E77" s="4">
        <v>712</v>
      </c>
      <c r="F77" s="4"/>
      <c r="G77" s="4" t="s">
        <v>5</v>
      </c>
      <c r="H77" s="2">
        <f>$E77*$B$11+$B$10+'Станд.норм.распр.'!B70*$B$12*$R77</f>
        <v>534.96104758966248</v>
      </c>
      <c r="I77" s="2">
        <f>$E77*$B$11+$B$10+'Станд.норм.распр.'!C70*$B$12*$R77</f>
        <v>673.62345565203577</v>
      </c>
      <c r="J77" s="2">
        <f>$E77*$B$11+$B$10+'Станд.норм.распр.'!D70*$B$12*$R77</f>
        <v>551.81104674562812</v>
      </c>
      <c r="K77" s="2">
        <f>$E77*$B$11+$B$10+'Станд.норм.распр.'!E70*$B$12*$R77</f>
        <v>533.44242790632416</v>
      </c>
      <c r="L77" s="2">
        <f>$E77*$B$11+$B$10+'Станд.норм.распр.'!F70*$B$12*$R77</f>
        <v>720.0169622884132</v>
      </c>
      <c r="M77" s="2">
        <f>$E77*$B$11+$B$10+'Станд.норм.распр.'!G70*$B$12*$R77</f>
        <v>316.88234433392063</v>
      </c>
      <c r="N77" s="2">
        <f>$E77*$B$11+$B$10+'Станд.норм.распр.'!H70*$B$12*$R77</f>
        <v>501.68314576882403</v>
      </c>
      <c r="O77" s="2">
        <f>$E77*$B$11+$B$10+'Станд.норм.распр.'!I70*$B$12*$R77</f>
        <v>589.02233125269413</v>
      </c>
      <c r="P77" s="2">
        <f>$E77*$B$11+$B$10+'Станд.норм.распр.'!J70*$B$12*$R77</f>
        <v>614.3829088906059</v>
      </c>
      <c r="Q77" s="2">
        <f>$E77*$B$11+$B$10+'Станд.норм.распр.'!K70*$B$12*$R77</f>
        <v>639.49609675398085</v>
      </c>
      <c r="R77">
        <v>68</v>
      </c>
    </row>
    <row r="78" spans="3:18" x14ac:dyDescent="0.35">
      <c r="C78" s="4" t="s">
        <v>77</v>
      </c>
      <c r="D78" s="4" t="s">
        <v>5</v>
      </c>
      <c r="E78" s="4">
        <v>418</v>
      </c>
      <c r="F78" s="4"/>
      <c r="G78" s="4" t="s">
        <v>5</v>
      </c>
      <c r="H78" s="2">
        <f>$E78*$B$11+$B$10+'Станд.норм.распр.'!B71*$B$12*$R78</f>
        <v>640.68360017295322</v>
      </c>
      <c r="I78" s="2">
        <f>$E78*$B$11+$B$10+'Станд.норм.распр.'!C71*$B$12*$R78</f>
        <v>334.76189734385116</v>
      </c>
      <c r="J78" s="2">
        <f>$E78*$B$11+$B$10+'Станд.норм.распр.'!D71*$B$12*$R78</f>
        <v>153.42842622514581</v>
      </c>
      <c r="K78" s="2">
        <f>$E78*$B$11+$B$10+'Станд.норм.распр.'!E71*$B$12*$R78</f>
        <v>168.63085753895575</v>
      </c>
      <c r="L78" s="2">
        <f>$E78*$B$11+$B$10+'Станд.норм.распр.'!F71*$B$12*$R78</f>
        <v>460.50200686833705</v>
      </c>
      <c r="M78" s="2">
        <f>$E78*$B$11+$B$10+'Станд.норм.распр.'!G71*$B$12*$R78</f>
        <v>265.56918434464023</v>
      </c>
      <c r="N78" s="2">
        <f>$E78*$B$11+$B$10+'Станд.норм.распр.'!H71*$B$12*$R78</f>
        <v>340.67437233345117</v>
      </c>
      <c r="O78" s="2">
        <f>$E78*$B$11+$B$10+'Станд.норм.распр.'!I71*$B$12*$R78</f>
        <v>559.15731415181654</v>
      </c>
      <c r="P78" s="2">
        <f>$E78*$B$11+$B$10+'Станд.норм.распр.'!J71*$B$12*$R78</f>
        <v>202.59158297078102</v>
      </c>
      <c r="Q78" s="2">
        <f>$E78*$B$11+$B$10+'Станд.норм.распр.'!K71*$B$12*$R78</f>
        <v>708.12796244892525</v>
      </c>
      <c r="R78">
        <v>69</v>
      </c>
    </row>
    <row r="79" spans="3:18" x14ac:dyDescent="0.35">
      <c r="C79" s="4" t="s">
        <v>78</v>
      </c>
      <c r="D79" s="4" t="s">
        <v>5</v>
      </c>
      <c r="E79" s="4">
        <v>876</v>
      </c>
      <c r="F79" s="4"/>
      <c r="G79" s="4" t="s">
        <v>5</v>
      </c>
      <c r="H79" s="2">
        <f>$E79*$B$11+$B$10+'Станд.норм.распр.'!B72*$B$12*$R79</f>
        <v>972.74323405811447</v>
      </c>
      <c r="I79" s="2">
        <f>$E79*$B$11+$B$10+'Станд.норм.распр.'!C72*$B$12*$R79</f>
        <v>637.73350956337526</v>
      </c>
      <c r="J79" s="2">
        <f>$E79*$B$11+$B$10+'Станд.норм.распр.'!D72*$B$12*$R79</f>
        <v>706.28217071073595</v>
      </c>
      <c r="K79" s="2">
        <f>$E79*$B$11+$B$10+'Станд.норм.распр.'!E72*$B$12*$R79</f>
        <v>679.45660174457589</v>
      </c>
      <c r="L79" s="2">
        <f>$E79*$B$11+$B$10+'Станд.норм.распр.'!F72*$B$12*$R79</f>
        <v>780.34864526428282</v>
      </c>
      <c r="M79" s="2">
        <f>$E79*$B$11+$B$10+'Станд.норм.распр.'!G72*$B$12*$R79</f>
        <v>581.57653182873037</v>
      </c>
      <c r="N79" s="2">
        <f>$E79*$B$11+$B$10+'Станд.норм.распр.'!H72*$B$12*$R79</f>
        <v>743.44194143789355</v>
      </c>
      <c r="O79" s="2">
        <f>$E79*$B$11+$B$10+'Станд.норм.распр.'!I72*$B$12*$R79</f>
        <v>461.22077873162925</v>
      </c>
      <c r="P79" s="2">
        <f>$E79*$B$11+$B$10+'Станд.норм.распр.'!J72*$B$12*$R79</f>
        <v>954.23855253768852</v>
      </c>
      <c r="Q79" s="2">
        <f>$E79*$B$11+$B$10+'Станд.норм.распр.'!K72*$B$12*$R79</f>
        <v>964.84086196808494</v>
      </c>
      <c r="R79">
        <v>70</v>
      </c>
    </row>
    <row r="80" spans="3:18" x14ac:dyDescent="0.35">
      <c r="C80" s="4" t="s">
        <v>79</v>
      </c>
      <c r="D80" s="4" t="s">
        <v>5</v>
      </c>
      <c r="E80" s="4">
        <v>757</v>
      </c>
      <c r="F80" s="4"/>
      <c r="G80" s="4" t="s">
        <v>5</v>
      </c>
      <c r="H80" s="2">
        <f>$E80*$B$11+$B$10+'Станд.норм.распр.'!B73*$B$12*$R80</f>
        <v>1020.0559090499009</v>
      </c>
      <c r="I80" s="2">
        <f>$E80*$B$11+$B$10+'Станд.норм.распр.'!C73*$B$12*$R80</f>
        <v>809.83565611130325</v>
      </c>
      <c r="J80" s="2">
        <f>$E80*$B$11+$B$10+'Станд.норм.распр.'!D73*$B$12*$R80</f>
        <v>763.57087935501477</v>
      </c>
      <c r="K80" s="2">
        <f>$E80*$B$11+$B$10+'Станд.норм.распр.'!E73*$B$12*$R80</f>
        <v>529.31839762275922</v>
      </c>
      <c r="L80" s="2">
        <f>$E80*$B$11+$B$10+'Станд.норм.распр.'!F73*$B$12*$R80</f>
        <v>759.17095999282901</v>
      </c>
      <c r="M80" s="2">
        <f>$E80*$B$11+$B$10+'Станд.норм.распр.'!G73*$B$12*$R80</f>
        <v>609.14073217826081</v>
      </c>
      <c r="N80" s="2">
        <f>$E80*$B$11+$B$10+'Станд.норм.распр.'!H73*$B$12*$R80</f>
        <v>1128.6707153721945</v>
      </c>
      <c r="O80" s="2">
        <f>$E80*$B$11+$B$10+'Станд.норм.распр.'!I73*$B$12*$R80</f>
        <v>438.33717016421724</v>
      </c>
      <c r="P80" s="2">
        <f>$E80*$B$11+$B$10+'Станд.норм.распр.'!J73*$B$12*$R80</f>
        <v>823.83645620392053</v>
      </c>
      <c r="Q80" s="2">
        <f>$E80*$B$11+$B$10+'Станд.норм.распр.'!K73*$B$12*$R80</f>
        <v>612.48244308624999</v>
      </c>
      <c r="R80">
        <v>71</v>
      </c>
    </row>
    <row r="81" spans="3:18" x14ac:dyDescent="0.35">
      <c r="C81" s="4" t="s">
        <v>80</v>
      </c>
      <c r="D81" s="4" t="s">
        <v>5</v>
      </c>
      <c r="E81" s="4">
        <v>670</v>
      </c>
      <c r="F81" s="4"/>
      <c r="G81" s="4" t="s">
        <v>5</v>
      </c>
      <c r="H81" s="2">
        <f>$E81*$B$11+$B$10+'Станд.норм.распр.'!B74*$B$12*$R81</f>
        <v>606.49272551515605</v>
      </c>
      <c r="I81" s="2">
        <f>$E81*$B$11+$B$10+'Станд.норм.распр.'!C74*$B$12*$R81</f>
        <v>899.57947590434924</v>
      </c>
      <c r="J81" s="2">
        <f>$E81*$B$11+$B$10+'Станд.норм.распр.'!D74*$B$12*$R81</f>
        <v>655.17005520220846</v>
      </c>
      <c r="K81" s="2">
        <f>$E81*$B$11+$B$10+'Станд.норм.распр.'!E74*$B$12*$R81</f>
        <v>590.96524988987949</v>
      </c>
      <c r="L81" s="2">
        <f>$E81*$B$11+$B$10+'Станд.норм.распр.'!F74*$B$12*$R81</f>
        <v>692.44562279479578</v>
      </c>
      <c r="M81" s="2">
        <f>$E81*$B$11+$B$10+'Станд.норм.распр.'!G74*$B$12*$R81</f>
        <v>892.89523554313928</v>
      </c>
      <c r="N81" s="2">
        <f>$E81*$B$11+$B$10+'Станд.норм.распр.'!H74*$B$12*$R81</f>
        <v>456.09117829869501</v>
      </c>
      <c r="O81" s="2">
        <f>$E81*$B$11+$B$10+'Станд.норм.распр.'!I74*$B$12*$R81</f>
        <v>884.77297491906211</v>
      </c>
      <c r="P81" s="2">
        <f>$E81*$B$11+$B$10+'Станд.норм.распр.'!J74*$B$12*$R81</f>
        <v>636.3375394953182</v>
      </c>
      <c r="Q81" s="2">
        <f>$E81*$B$11+$B$10+'Станд.норм.распр.'!K74*$B$12*$R81</f>
        <v>1082.9987639822066</v>
      </c>
      <c r="R81">
        <v>72</v>
      </c>
    </row>
    <row r="82" spans="3:18" x14ac:dyDescent="0.35">
      <c r="C82" s="4" t="s">
        <v>81</v>
      </c>
      <c r="D82" s="4" t="s">
        <v>5</v>
      </c>
      <c r="E82" s="4">
        <v>823</v>
      </c>
      <c r="F82" s="4"/>
      <c r="G82" s="4" t="s">
        <v>5</v>
      </c>
      <c r="H82" s="2">
        <f>$E82*$B$11+$B$10+'Станд.норм.распр.'!B75*$B$12*$R82</f>
        <v>908.54577403224539</v>
      </c>
      <c r="I82" s="2">
        <f>$E82*$B$11+$B$10+'Станд.норм.распр.'!C75*$B$12*$R82</f>
        <v>605.17920739148394</v>
      </c>
      <c r="J82" s="2">
        <f>$E82*$B$11+$B$10+'Станд.норм.распр.'!D75*$B$12*$R82</f>
        <v>687.86950615976821</v>
      </c>
      <c r="K82" s="2">
        <f>$E82*$B$11+$B$10+'Станд.норм.распр.'!E75*$B$12*$R82</f>
        <v>619.20143290553824</v>
      </c>
      <c r="L82" s="2">
        <f>$E82*$B$11+$B$10+'Станд.норм.распр.'!F75*$B$12*$R82</f>
        <v>998.99958551322925</v>
      </c>
      <c r="M82" s="2">
        <f>$E82*$B$11+$B$10+'Станд.норм.распр.'!G75*$B$12*$R82</f>
        <v>847.90139150318282</v>
      </c>
      <c r="N82" s="2">
        <f>$E82*$B$11+$B$10+'Станд.норм.распр.'!H75*$B$12*$R82</f>
        <v>794.63834632879298</v>
      </c>
      <c r="O82" s="2">
        <f>$E82*$B$11+$B$10+'Станд.норм.распр.'!I75*$B$12*$R82</f>
        <v>1041.8191599594138</v>
      </c>
      <c r="P82" s="2">
        <f>$E82*$B$11+$B$10+'Станд.норм.распр.'!J75*$B$12*$R82</f>
        <v>1038.9390267075214</v>
      </c>
      <c r="Q82" s="2">
        <f>$E82*$B$11+$B$10+'Станд.норм.распр.'!K75*$B$12*$R82</f>
        <v>751.31691519176832</v>
      </c>
      <c r="R82">
        <v>73</v>
      </c>
    </row>
    <row r="83" spans="3:18" x14ac:dyDescent="0.35">
      <c r="C83" s="4" t="s">
        <v>82</v>
      </c>
      <c r="D83" s="4" t="s">
        <v>5</v>
      </c>
      <c r="E83" s="4">
        <v>634</v>
      </c>
      <c r="F83" s="4"/>
      <c r="G83" s="4" t="s">
        <v>5</v>
      </c>
      <c r="H83" s="2">
        <f>$E83*$B$11+$B$10+'Станд.норм.распр.'!B76*$B$12*$R83</f>
        <v>724.92500090951216</v>
      </c>
      <c r="I83" s="2">
        <f>$E83*$B$11+$B$10+'Станд.норм.распр.'!C76*$B$12*$R83</f>
        <v>504.69732310879044</v>
      </c>
      <c r="J83" s="2">
        <f>$E83*$B$11+$B$10+'Станд.норм.распр.'!D76*$B$12*$R83</f>
        <v>645.69157554209232</v>
      </c>
      <c r="K83" s="2">
        <f>$E83*$B$11+$B$10+'Станд.норм.распр.'!E76*$B$12*$R83</f>
        <v>575.505892143643</v>
      </c>
      <c r="L83" s="2">
        <f>$E83*$B$11+$B$10+'Станд.норм.распр.'!F76*$B$12*$R83</f>
        <v>445.02800871263025</v>
      </c>
      <c r="M83" s="2">
        <f>$E83*$B$11+$B$10+'Станд.норм.распр.'!G76*$B$12*$R83</f>
        <v>289.7543302110862</v>
      </c>
      <c r="N83" s="2">
        <f>$E83*$B$11+$B$10+'Станд.норм.распр.'!H76*$B$12*$R83</f>
        <v>381.54566506412812</v>
      </c>
      <c r="O83" s="2">
        <f>$E83*$B$11+$B$10+'Станд.норм.распр.'!I76*$B$12*$R83</f>
        <v>549.07716754818102</v>
      </c>
      <c r="P83" s="2">
        <f>$E83*$B$11+$B$10+'Станд.норм.распр.'!J76*$B$12*$R83</f>
        <v>532.59795573970769</v>
      </c>
      <c r="Q83" s="2">
        <f>$E83*$B$11+$B$10+'Станд.норм.распр.'!K76*$B$12*$R83</f>
        <v>595.75808030041037</v>
      </c>
      <c r="R83">
        <v>74</v>
      </c>
    </row>
    <row r="84" spans="3:18" x14ac:dyDescent="0.35">
      <c r="C84" s="4" t="s">
        <v>83</v>
      </c>
      <c r="D84" s="4" t="s">
        <v>5</v>
      </c>
      <c r="E84" s="4">
        <v>407</v>
      </c>
      <c r="F84" s="4"/>
      <c r="G84" s="4" t="s">
        <v>5</v>
      </c>
      <c r="H84" s="2">
        <f>$E84*$B$11+$B$10+'Станд.норм.распр.'!B77*$B$12*$R84</f>
        <v>469.24032472851104</v>
      </c>
      <c r="I84" s="2">
        <f>$E84*$B$11+$B$10+'Станд.норм.распр.'!C77*$B$12*$R84</f>
        <v>403.50014342983195</v>
      </c>
      <c r="J84" s="2">
        <f>$E84*$B$11+$B$10+'Станд.норм.распр.'!D77*$B$12*$R84</f>
        <v>72.866113906260978</v>
      </c>
      <c r="K84" s="2">
        <f>$E84*$B$11+$B$10+'Станд.норм.распр.'!E77*$B$12*$R84</f>
        <v>-30.147470387979411</v>
      </c>
      <c r="L84" s="2">
        <f>$E84*$B$11+$B$10+'Станд.норм.распр.'!F77*$B$12*$R84</f>
        <v>285.8416844541207</v>
      </c>
      <c r="M84" s="2">
        <f>$E84*$B$11+$B$10+'Станд.норм.распр.'!G77*$B$12*$R84</f>
        <v>581.5109655126289</v>
      </c>
      <c r="N84" s="2">
        <f>$E84*$B$11+$B$10+'Станд.норм.распр.'!H77*$B$12*$R84</f>
        <v>333.53626873611938</v>
      </c>
      <c r="O84" s="2">
        <f>$E84*$B$11+$B$10+'Станд.норм.распр.'!I77*$B$12*$R84</f>
        <v>353.4212903654261</v>
      </c>
      <c r="P84" s="2">
        <f>$E84*$B$11+$B$10+'Станд.норм.распр.'!J77*$B$12*$R84</f>
        <v>478.46328312551486</v>
      </c>
      <c r="Q84" s="2">
        <f>$E84*$B$11+$B$10+'Станд.норм.распр.'!K77*$B$12*$R84</f>
        <v>438.64745249300904</v>
      </c>
      <c r="R84">
        <v>75</v>
      </c>
    </row>
    <row r="85" spans="3:18" x14ac:dyDescent="0.35">
      <c r="C85" s="4" t="s">
        <v>84</v>
      </c>
      <c r="D85" s="4" t="s">
        <v>5</v>
      </c>
      <c r="E85" s="4">
        <v>923</v>
      </c>
      <c r="F85" s="4"/>
      <c r="G85" s="4" t="s">
        <v>5</v>
      </c>
      <c r="H85" s="2">
        <f>$E85*$B$11+$B$10+'Станд.норм.распр.'!B78*$B$12*$R85</f>
        <v>675.43025187915191</v>
      </c>
      <c r="I85" s="2">
        <f>$E85*$B$11+$B$10+'Станд.норм.распр.'!C78*$B$12*$R85</f>
        <v>1010.6675796967465</v>
      </c>
      <c r="J85" s="2">
        <f>$E85*$B$11+$B$10+'Станд.норм.распр.'!D78*$B$12*$R85</f>
        <v>844.82966093928553</v>
      </c>
      <c r="K85" s="2">
        <f>$E85*$B$11+$B$10+'Станд.норм.распр.'!E78*$B$12*$R85</f>
        <v>1101.6654713719618</v>
      </c>
      <c r="L85" s="2">
        <f>$E85*$B$11+$B$10+'Станд.норм.распр.'!F78*$B$12*$R85</f>
        <v>711.1234351148596</v>
      </c>
      <c r="M85" s="2">
        <f>$E85*$B$11+$B$10+'Станд.норм.распр.'!G78*$B$12*$R85</f>
        <v>581.42971801571548</v>
      </c>
      <c r="N85" s="2">
        <f>$E85*$B$11+$B$10+'Станд.норм.распр.'!H78*$B$12*$R85</f>
        <v>1194.0784468840568</v>
      </c>
      <c r="O85" s="2">
        <f>$E85*$B$11+$B$10+'Станд.норм.распр.'!I78*$B$12*$R85</f>
        <v>1006.0988149169134</v>
      </c>
      <c r="P85" s="2">
        <f>$E85*$B$11+$B$10+'Станд.норм.распр.'!J78*$B$12*$R85</f>
        <v>917.89153493009508</v>
      </c>
      <c r="Q85" s="2">
        <f>$E85*$B$11+$B$10+'Станд.норм.распр.'!K78*$B$12*$R85</f>
        <v>709.38416292192414</v>
      </c>
      <c r="R85">
        <v>76</v>
      </c>
    </row>
    <row r="86" spans="3:18" x14ac:dyDescent="0.35">
      <c r="C86" s="4" t="s">
        <v>85</v>
      </c>
      <c r="D86" s="4" t="s">
        <v>5</v>
      </c>
      <c r="E86" s="4">
        <v>235</v>
      </c>
      <c r="F86" s="4"/>
      <c r="G86" s="4" t="s">
        <v>5</v>
      </c>
      <c r="H86" s="2">
        <f>$E86*$B$11+$B$10+'Станд.норм.распр.'!B79*$B$12*$R86</f>
        <v>-255.79478844255209</v>
      </c>
      <c r="I86" s="2">
        <f>$E86*$B$11+$B$10+'Станд.норм.распр.'!C79*$B$12*$R86</f>
        <v>402.68480987189105</v>
      </c>
      <c r="J86" s="2">
        <f>$E86*$B$11+$B$10+'Станд.норм.распр.'!D79*$B$12*$R86</f>
        <v>24.553153964836383</v>
      </c>
      <c r="K86" s="2">
        <f>$E86*$B$11+$B$10+'Станд.норм.распр.'!E79*$B$12*$R86</f>
        <v>227.90584992700315</v>
      </c>
      <c r="L86" s="2">
        <f>$E86*$B$11+$B$10+'Станд.норм.распр.'!F79*$B$12*$R86</f>
        <v>-77.96133487962652</v>
      </c>
      <c r="M86" s="2">
        <f>$E86*$B$11+$B$10+'Станд.норм.распр.'!G79*$B$12*$R86</f>
        <v>287.32521812609048</v>
      </c>
      <c r="N86" s="2">
        <f>$E86*$B$11+$B$10+'Станд.норм.распр.'!H79*$B$12*$R86</f>
        <v>118.26788593945093</v>
      </c>
      <c r="O86" s="2">
        <f>$E86*$B$11+$B$10+'Станд.норм.распр.'!I79*$B$12*$R86</f>
        <v>427.4742407532467</v>
      </c>
      <c r="P86" s="2">
        <f>$E86*$B$11+$B$10+'Станд.норм.распр.'!J79*$B$12*$R86</f>
        <v>714.71639401616994</v>
      </c>
      <c r="Q86" s="2">
        <f>$E86*$B$11+$B$10+'Станд.норм.распр.'!K79*$B$12*$R86</f>
        <v>312.684001785703</v>
      </c>
      <c r="R86">
        <v>77</v>
      </c>
    </row>
    <row r="87" spans="3:18" x14ac:dyDescent="0.35">
      <c r="C87" s="4" t="s">
        <v>86</v>
      </c>
      <c r="D87" s="4" t="s">
        <v>5</v>
      </c>
      <c r="E87" s="4">
        <v>314</v>
      </c>
      <c r="F87" s="4"/>
      <c r="G87" s="4" t="s">
        <v>5</v>
      </c>
      <c r="H87" s="2">
        <f>$E87*$B$11+$B$10+'Станд.норм.распр.'!B80*$B$12*$R87</f>
        <v>613.5967285234068</v>
      </c>
      <c r="I87" s="2">
        <f>$E87*$B$11+$B$10+'Станд.норм.распр.'!C80*$B$12*$R87</f>
        <v>150.30974680231884</v>
      </c>
      <c r="J87" s="2">
        <f>$E87*$B$11+$B$10+'Станд.норм.распр.'!D80*$B$12*$R87</f>
        <v>323.56421741243685</v>
      </c>
      <c r="K87" s="2">
        <f>$E87*$B$11+$B$10+'Станд.норм.распр.'!E80*$B$12*$R87</f>
        <v>94.737728775013238</v>
      </c>
      <c r="L87" s="2">
        <f>$E87*$B$11+$B$10+'Станд.норм.распр.'!F80*$B$12*$R87</f>
        <v>437.53577617974753</v>
      </c>
      <c r="M87" s="2">
        <f>$E87*$B$11+$B$10+'Станд.норм.распр.'!G80*$B$12*$R87</f>
        <v>141.09456458501518</v>
      </c>
      <c r="N87" s="2">
        <f>$E87*$B$11+$B$10+'Станд.норм.распр.'!H80*$B$12*$R87</f>
        <v>104.13274537969846</v>
      </c>
      <c r="O87" s="2">
        <f>$E87*$B$11+$B$10+'Станд.норм.распр.'!I80*$B$12*$R87</f>
        <v>-140.23239202541299</v>
      </c>
      <c r="P87" s="2">
        <f>$E87*$B$11+$B$10+'Станд.норм.распр.'!J80*$B$12*$R87</f>
        <v>337.78975591959897</v>
      </c>
      <c r="Q87" s="2">
        <f>$E87*$B$11+$B$10+'Станд.норм.распр.'!K80*$B$12*$R87</f>
        <v>363.39168161904672</v>
      </c>
      <c r="R87">
        <v>78</v>
      </c>
    </row>
    <row r="88" spans="3:18" x14ac:dyDescent="0.35">
      <c r="C88" s="4" t="s">
        <v>87</v>
      </c>
      <c r="D88" s="4" t="s">
        <v>5</v>
      </c>
      <c r="E88" s="4">
        <v>911</v>
      </c>
      <c r="F88" s="4"/>
      <c r="G88" s="4" t="s">
        <v>5</v>
      </c>
      <c r="H88" s="2">
        <f>$E88*$B$11+$B$10+'Станд.норм.распр.'!B81*$B$12*$R88</f>
        <v>1272.2714149662334</v>
      </c>
      <c r="I88" s="2">
        <f>$E88*$B$11+$B$10+'Станд.норм.распр.'!C81*$B$12*$R88</f>
        <v>580.12629657195066</v>
      </c>
      <c r="J88" s="2">
        <f>$E88*$B$11+$B$10+'Станд.норм.распр.'!D81*$B$12*$R88</f>
        <v>952.20320068573346</v>
      </c>
      <c r="K88" s="2">
        <f>$E88*$B$11+$B$10+'Станд.норм.распр.'!E81*$B$12*$R88</f>
        <v>600.24629525240744</v>
      </c>
      <c r="L88" s="2">
        <f>$E88*$B$11+$B$10+'Станд.норм.распр.'!F81*$B$12*$R88</f>
        <v>819.12625197172747</v>
      </c>
      <c r="M88" s="2">
        <f>$E88*$B$11+$B$10+'Станд.норм.распр.'!G81*$B$12*$R88</f>
        <v>661.74170220573433</v>
      </c>
      <c r="N88" s="2">
        <f>$E88*$B$11+$B$10+'Станд.норм.распр.'!H81*$B$12*$R88</f>
        <v>929.57527491261135</v>
      </c>
      <c r="O88" s="2">
        <f>$E88*$B$11+$B$10+'Станд.норм.распр.'!I81*$B$12*$R88</f>
        <v>1156.3519148326013</v>
      </c>
      <c r="P88" s="2">
        <f>$E88*$B$11+$B$10+'Станд.норм.распр.'!J81*$B$12*$R88</f>
        <v>805.11117508602911</v>
      </c>
      <c r="Q88" s="2">
        <f>$E88*$B$11+$B$10+'Станд.норм.распр.'!K81*$B$12*$R88</f>
        <v>890.31172015846823</v>
      </c>
      <c r="R88">
        <v>79</v>
      </c>
    </row>
    <row r="89" spans="3:18" x14ac:dyDescent="0.35">
      <c r="C89" s="4" t="s">
        <v>88</v>
      </c>
      <c r="D89" s="4" t="s">
        <v>5</v>
      </c>
      <c r="E89" s="4">
        <v>273</v>
      </c>
      <c r="F89" s="4"/>
      <c r="G89" s="4" t="s">
        <v>5</v>
      </c>
      <c r="H89" s="2">
        <f>$E89*$B$11+$B$10+'Станд.норм.распр.'!B82*$B$12*$R89</f>
        <v>394.41483535338193</v>
      </c>
      <c r="I89" s="2">
        <f>$E89*$B$11+$B$10+'Станд.норм.распр.'!C82*$B$12*$R89</f>
        <v>-383.9049007743597</v>
      </c>
      <c r="J89" s="2">
        <f>$E89*$B$11+$B$10+'Станд.норм.распр.'!D82*$B$12*$R89</f>
        <v>293.88383849291131</v>
      </c>
      <c r="K89" s="2">
        <f>$E89*$B$11+$B$10+'Станд.норм.распр.'!E82*$B$12*$R89</f>
        <v>424.72229109844193</v>
      </c>
      <c r="L89" s="2">
        <f>$E89*$B$11+$B$10+'Станд.норм.распр.'!F82*$B$12*$R89</f>
        <v>330.44907253351994</v>
      </c>
      <c r="M89" s="2">
        <f>$E89*$B$11+$B$10+'Станд.норм.распр.'!G82*$B$12*$R89</f>
        <v>-173.30740080215037</v>
      </c>
      <c r="N89" s="2">
        <f>$E89*$B$11+$B$10+'Станд.норм.распр.'!H82*$B$12*$R89</f>
        <v>226.43052728963085</v>
      </c>
      <c r="O89" s="2">
        <f>$E89*$B$11+$B$10+'Станд.норм.распр.'!I82*$B$12*$R89</f>
        <v>280.22368281963281</v>
      </c>
      <c r="P89" s="2">
        <f>$E89*$B$11+$B$10+'Станд.норм.распр.'!J82*$B$12*$R89</f>
        <v>214.48495102813467</v>
      </c>
      <c r="Q89" s="2">
        <f>$E89*$B$11+$B$10+'Станд.норм.распр.'!K82*$B$12*$R89</f>
        <v>192.277438119056</v>
      </c>
      <c r="R89">
        <v>80</v>
      </c>
    </row>
    <row r="90" spans="3:18" x14ac:dyDescent="0.35">
      <c r="C90" s="4" t="s">
        <v>89</v>
      </c>
      <c r="D90" s="4" t="s">
        <v>5</v>
      </c>
      <c r="E90" s="4">
        <v>403</v>
      </c>
      <c r="F90" s="4"/>
      <c r="G90" s="4" t="s">
        <v>5</v>
      </c>
      <c r="H90" s="2">
        <f>$E90*$B$11+$B$10+'Станд.норм.распр.'!B83*$B$12*$R90</f>
        <v>681.63251785270404</v>
      </c>
      <c r="I90" s="2">
        <f>$E90*$B$11+$B$10+'Станд.норм.распр.'!C83*$B$12*$R90</f>
        <v>495.50632115759072</v>
      </c>
      <c r="J90" s="2">
        <f>$E90*$B$11+$B$10+'Станд.норм.распр.'!D83*$B$12*$R90</f>
        <v>711.44141816082993</v>
      </c>
      <c r="K90" s="2">
        <f>$E90*$B$11+$B$10+'Станд.норм.распр.'!E83*$B$12*$R90</f>
        <v>-73.986721645924263</v>
      </c>
      <c r="L90" s="2">
        <f>$E90*$B$11+$B$10+'Станд.норм.распр.'!F83*$B$12*$R90</f>
        <v>681.91651212080615</v>
      </c>
      <c r="M90" s="2">
        <f>$E90*$B$11+$B$10+'Станд.норм.распр.'!G83*$B$12*$R90</f>
        <v>392.58630113115942</v>
      </c>
      <c r="N90" s="2">
        <f>$E90*$B$11+$B$10+'Станд.норм.распр.'!H83*$B$12*$R90</f>
        <v>644.12814640425495</v>
      </c>
      <c r="O90" s="2">
        <f>$E90*$B$11+$B$10+'Станд.норм.распр.'!I83*$B$12*$R90</f>
        <v>493.04015692476241</v>
      </c>
      <c r="P90" s="2">
        <f>$E90*$B$11+$B$10+'Станд.норм.распр.'!J83*$B$12*$R90</f>
        <v>527.42327052302437</v>
      </c>
      <c r="Q90" s="2">
        <f>$E90*$B$11+$B$10+'Станд.норм.распр.'!K83*$B$12*$R90</f>
        <v>302.35798003454772</v>
      </c>
      <c r="R90">
        <v>81</v>
      </c>
    </row>
    <row r="91" spans="3:18" x14ac:dyDescent="0.35">
      <c r="C91" s="4" t="s">
        <v>90</v>
      </c>
      <c r="D91" s="4" t="s">
        <v>5</v>
      </c>
      <c r="E91" s="4">
        <v>692</v>
      </c>
      <c r="F91" s="4"/>
      <c r="G91" s="4" t="s">
        <v>5</v>
      </c>
      <c r="H91" s="2">
        <f>$E91*$B$11+$B$10+'Станд.норм.распр.'!B84*$B$12*$R91</f>
        <v>682.35623500781367</v>
      </c>
      <c r="I91" s="2">
        <f>$E91*$B$11+$B$10+'Станд.норм.распр.'!C84*$B$12*$R91</f>
        <v>858.97487195010763</v>
      </c>
      <c r="J91" s="2">
        <f>$E91*$B$11+$B$10+'Станд.норм.распр.'!D84*$B$12*$R91</f>
        <v>764.37997875158908</v>
      </c>
      <c r="K91" s="2">
        <f>$E91*$B$11+$B$10+'Станд.норм.распр.'!E84*$B$12*$R91</f>
        <v>858.80986687383847</v>
      </c>
      <c r="L91" s="2">
        <f>$E91*$B$11+$B$10+'Станд.норм.распр.'!F84*$B$12*$R91</f>
        <v>423.8005519041908</v>
      </c>
      <c r="M91" s="2">
        <f>$E91*$B$11+$B$10+'Станд.норм.распр.'!G84*$B$12*$R91</f>
        <v>525.68755079532275</v>
      </c>
      <c r="N91" s="2">
        <f>$E91*$B$11+$B$10+'Станд.норм.распр.'!H84*$B$12*$R91</f>
        <v>464.02599280240247</v>
      </c>
      <c r="O91" s="2">
        <f>$E91*$B$11+$B$10+'Станд.норм.распр.'!I84*$B$12*$R91</f>
        <v>1014.6277960998705</v>
      </c>
      <c r="P91" s="2">
        <f>$E91*$B$11+$B$10+'Станд.норм.распр.'!J84*$B$12*$R91</f>
        <v>581.42906225525076</v>
      </c>
      <c r="Q91" s="2">
        <f>$E91*$B$11+$B$10+'Станд.норм.распр.'!K84*$B$12*$R91</f>
        <v>615.56273947330192</v>
      </c>
      <c r="R91">
        <v>82</v>
      </c>
    </row>
    <row r="92" spans="3:18" x14ac:dyDescent="0.35">
      <c r="C92" s="4" t="s">
        <v>91</v>
      </c>
      <c r="D92" s="4" t="s">
        <v>5</v>
      </c>
      <c r="E92" s="4">
        <v>429</v>
      </c>
      <c r="F92" s="4"/>
      <c r="G92" s="4" t="s">
        <v>5</v>
      </c>
      <c r="H92" s="2">
        <f>$E92*$B$11+$B$10+'Станд.норм.распр.'!B85*$B$12*$R92</f>
        <v>611.54686961477273</v>
      </c>
      <c r="I92" s="2">
        <f>$E92*$B$11+$B$10+'Станд.норм.распр.'!C85*$B$12*$R92</f>
        <v>40.181704727234319</v>
      </c>
      <c r="J92" s="2">
        <f>$E92*$B$11+$B$10+'Станд.норм.распр.'!D85*$B$12*$R92</f>
        <v>590.14996765786782</v>
      </c>
      <c r="K92" s="2">
        <f>$E92*$B$11+$B$10+'Станд.норм.распр.'!E85*$B$12*$R92</f>
        <v>492.13400559115689</v>
      </c>
      <c r="L92" s="2">
        <f>$E92*$B$11+$B$10+'Станд.норм.распр.'!F85*$B$12*$R92</f>
        <v>8.4835133488522843</v>
      </c>
      <c r="M92" s="2">
        <f>$E92*$B$11+$B$10+'Станд.норм.распр.'!G85*$B$12*$R92</f>
        <v>634.7679405475501</v>
      </c>
      <c r="N92" s="2">
        <f>$E92*$B$11+$B$10+'Станд.норм.распр.'!H85*$B$12*$R92</f>
        <v>285.53922590750153</v>
      </c>
      <c r="O92" s="2">
        <f>$E92*$B$11+$B$10+'Станд.норм.распр.'!I85*$B$12*$R92</f>
        <v>502.55588718887884</v>
      </c>
      <c r="P92" s="2">
        <f>$E92*$B$11+$B$10+'Станд.норм.распр.'!J85*$B$12*$R92</f>
        <v>706.91036996454932</v>
      </c>
      <c r="Q92" s="2">
        <f>$E92*$B$11+$B$10+'Станд.норм.распр.'!K85*$B$12*$R92</f>
        <v>478.76893888447376</v>
      </c>
      <c r="R92">
        <v>83</v>
      </c>
    </row>
    <row r="93" spans="3:18" x14ac:dyDescent="0.35">
      <c r="C93" s="4" t="s">
        <v>92</v>
      </c>
      <c r="D93" s="4" t="s">
        <v>5</v>
      </c>
      <c r="E93" s="4">
        <v>902</v>
      </c>
      <c r="F93" s="4"/>
      <c r="G93" s="4" t="s">
        <v>5</v>
      </c>
      <c r="H93" s="2">
        <f>$E93*$B$11+$B$10+'Станд.норм.распр.'!B86*$B$12*$R93</f>
        <v>813.048901827191</v>
      </c>
      <c r="I93" s="2">
        <f>$E93*$B$11+$B$10+'Станд.норм.распр.'!C86*$B$12*$R93</f>
        <v>992.91701327229384</v>
      </c>
      <c r="J93" s="2">
        <f>$E93*$B$11+$B$10+'Станд.норм.распр.'!D86*$B$12*$R93</f>
        <v>1243.154721586965</v>
      </c>
      <c r="K93" s="2">
        <f>$E93*$B$11+$B$10+'Станд.норм.распр.'!E86*$B$12*$R93</f>
        <v>509.52733682561666</v>
      </c>
      <c r="L93" s="2">
        <f>$E93*$B$11+$B$10+'Станд.норм.распр.'!F86*$B$12*$R93</f>
        <v>1007.5165860230336</v>
      </c>
      <c r="M93" s="2">
        <f>$E93*$B$11+$B$10+'Станд.норм.распр.'!G86*$B$12*$R93</f>
        <v>930.56543529155897</v>
      </c>
      <c r="N93" s="2">
        <f>$E93*$B$11+$B$10+'Станд.норм.распр.'!H86*$B$12*$R93</f>
        <v>872.19436091755051</v>
      </c>
      <c r="O93" s="2">
        <f>$E93*$B$11+$B$10+'Станд.норм.распр.'!I86*$B$12*$R93</f>
        <v>516.52802677336149</v>
      </c>
      <c r="P93" s="2">
        <f>$E93*$B$11+$B$10+'Станд.норм.распр.'!J86*$B$12*$R93</f>
        <v>941.05930794239976</v>
      </c>
      <c r="Q93" s="2">
        <f>$E93*$B$11+$B$10+'Станд.норм.распр.'!K86*$B$12*$R93</f>
        <v>840.65802321629599</v>
      </c>
      <c r="R93">
        <v>84</v>
      </c>
    </row>
    <row r="94" spans="3:18" x14ac:dyDescent="0.35">
      <c r="C94" s="4" t="s">
        <v>93</v>
      </c>
      <c r="D94" s="4" t="s">
        <v>5</v>
      </c>
      <c r="E94" s="4">
        <v>283</v>
      </c>
      <c r="F94" s="4"/>
      <c r="G94" s="4" t="s">
        <v>5</v>
      </c>
      <c r="H94" s="2">
        <f>$E94*$B$11+$B$10+'Станд.норм.распр.'!B87*$B$12*$R94</f>
        <v>221.04484416209743</v>
      </c>
      <c r="I94" s="2">
        <f>$E94*$B$11+$B$10+'Станд.норм.распр.'!C87*$B$12*$R94</f>
        <v>472.36735682978178</v>
      </c>
      <c r="J94" s="2">
        <f>$E94*$B$11+$B$10+'Станд.норм.распр.'!D87*$B$12*$R94</f>
        <v>-14.661837743769865</v>
      </c>
      <c r="K94" s="2">
        <f>$E94*$B$11+$B$10+'Станд.норм.распр.'!E87*$B$12*$R94</f>
        <v>687.38899146061158</v>
      </c>
      <c r="L94" s="2">
        <f>$E94*$B$11+$B$10+'Станд.норм.распр.'!F87*$B$12*$R94</f>
        <v>307.41906243783797</v>
      </c>
      <c r="M94" s="2">
        <f>$E94*$B$11+$B$10+'Станд.норм.распр.'!G87*$B$12*$R94</f>
        <v>531.2619931975496</v>
      </c>
      <c r="N94" s="2">
        <f>$E94*$B$11+$B$10+'Станд.норм.распр.'!H87*$B$12*$R94</f>
        <v>272.55916976733715</v>
      </c>
      <c r="O94" s="2">
        <f>$E94*$B$11+$B$10+'Станд.норм.распр.'!I87*$B$12*$R94</f>
        <v>141.20946745257243</v>
      </c>
      <c r="P94" s="2">
        <f>$E94*$B$11+$B$10+'Станд.норм.распр.'!J87*$B$12*$R94</f>
        <v>384.97019105867366</v>
      </c>
      <c r="Q94" s="2">
        <f>$E94*$B$11+$B$10+'Станд.норм.распр.'!K87*$B$12*$R94</f>
        <v>253.82127576624225</v>
      </c>
      <c r="R94">
        <v>85</v>
      </c>
    </row>
    <row r="95" spans="3:18" x14ac:dyDescent="0.35">
      <c r="C95" s="4" t="s">
        <v>94</v>
      </c>
      <c r="D95" s="4" t="s">
        <v>5</v>
      </c>
      <c r="E95" s="4">
        <v>677</v>
      </c>
      <c r="F95" s="4"/>
      <c r="G95" s="4" t="s">
        <v>5</v>
      </c>
      <c r="H95" s="2">
        <f>$E95*$B$11+$B$10+'Станд.норм.распр.'!B88*$B$12*$R95</f>
        <v>914.53660867037252</v>
      </c>
      <c r="I95" s="2">
        <f>$E95*$B$11+$B$10+'Станд.норм.распр.'!C88*$B$12*$R95</f>
        <v>324.91077059594681</v>
      </c>
      <c r="J95" s="2">
        <f>$E95*$B$11+$B$10+'Станд.норм.распр.'!D88*$B$12*$R95</f>
        <v>803.91983852669364</v>
      </c>
      <c r="K95" s="2">
        <f>$E95*$B$11+$B$10+'Станд.норм.распр.'!E88*$B$12*$R95</f>
        <v>622.37473250762446</v>
      </c>
      <c r="L95" s="2">
        <f>$E95*$B$11+$B$10+'Станд.норм.распр.'!F88*$B$12*$R95</f>
        <v>647.11346136382781</v>
      </c>
      <c r="M95" s="2">
        <f>$E95*$B$11+$B$10+'Станд.норм.распр.'!G88*$B$12*$R95</f>
        <v>851.6024038362084</v>
      </c>
      <c r="N95" s="2">
        <f>$E95*$B$11+$B$10+'Станд.норм.распр.'!H88*$B$12*$R95</f>
        <v>530.89560447906842</v>
      </c>
      <c r="O95" s="2">
        <f>$E95*$B$11+$B$10+'Станд.норм.распр.'!I88*$B$12*$R95</f>
        <v>674.21373410971137</v>
      </c>
      <c r="P95" s="2">
        <f>$E95*$B$11+$B$10+'Станд.норм.распр.'!J88*$B$12*$R95</f>
        <v>1148.6136966231279</v>
      </c>
      <c r="Q95" s="2">
        <f>$E95*$B$11+$B$10+'Станд.норм.распр.'!K88*$B$12*$R95</f>
        <v>524.07140652567614</v>
      </c>
      <c r="R95">
        <v>86</v>
      </c>
    </row>
    <row r="96" spans="3:18" x14ac:dyDescent="0.35">
      <c r="C96" s="4" t="s">
        <v>95</v>
      </c>
      <c r="D96" s="4" t="s">
        <v>5</v>
      </c>
      <c r="E96" s="4">
        <v>316</v>
      </c>
      <c r="F96" s="4"/>
      <c r="G96" s="4" t="s">
        <v>5</v>
      </c>
      <c r="H96" s="2">
        <f>$E96*$B$11+$B$10+'Станд.норм.распр.'!B89*$B$12*$R96</f>
        <v>254.68057413742645</v>
      </c>
      <c r="I96" s="2">
        <f>$E96*$B$11+$B$10+'Станд.норм.распр.'!C89*$B$12*$R96</f>
        <v>355.01110586007417</v>
      </c>
      <c r="J96" s="2">
        <f>$E96*$B$11+$B$10+'Станд.норм.распр.'!D89*$B$12*$R96</f>
        <v>534.22238591589849</v>
      </c>
      <c r="K96" s="2">
        <f>$E96*$B$11+$B$10+'Станд.норм.распр.'!E89*$B$12*$R96</f>
        <v>501.40011365580722</v>
      </c>
      <c r="L96" s="2">
        <f>$E96*$B$11+$B$10+'Станд.норм.распр.'!F89*$B$12*$R96</f>
        <v>276.06122115027392</v>
      </c>
      <c r="M96" s="2">
        <f>$E96*$B$11+$B$10+'Станд.норм.распр.'!G89*$B$12*$R96</f>
        <v>733.07818878017133</v>
      </c>
      <c r="N96" s="2">
        <f>$E96*$B$11+$B$10+'Станд.норм.распр.'!H89*$B$12*$R96</f>
        <v>29.3458357489435</v>
      </c>
      <c r="O96" s="2">
        <f>$E96*$B$11+$B$10+'Станд.норм.распр.'!I89*$B$12*$R96</f>
        <v>765.32244532497134</v>
      </c>
      <c r="P96" s="2">
        <f>$E96*$B$11+$B$10+'Станд.норм.распр.'!J89*$B$12*$R96</f>
        <v>261.22093471055268</v>
      </c>
      <c r="Q96" s="2">
        <f>$E96*$B$11+$B$10+'Станд.норм.распр.'!K89*$B$12*$R96</f>
        <v>354.95057444019767</v>
      </c>
      <c r="R96">
        <v>87</v>
      </c>
    </row>
    <row r="97" spans="3:18" x14ac:dyDescent="0.35">
      <c r="C97" s="4" t="s">
        <v>96</v>
      </c>
      <c r="D97" s="4" t="s">
        <v>5</v>
      </c>
      <c r="E97" s="4">
        <v>305</v>
      </c>
      <c r="F97" s="4"/>
      <c r="G97" s="4" t="s">
        <v>5</v>
      </c>
      <c r="H97" s="2">
        <f>$E97*$B$11+$B$10+'Станд.норм.распр.'!B90*$B$12*$R97</f>
        <v>97.219162605353631</v>
      </c>
      <c r="I97" s="2">
        <f>$E97*$B$11+$B$10+'Станд.норм.распр.'!C90*$B$12*$R97</f>
        <v>479.04538380610757</v>
      </c>
      <c r="J97" s="2">
        <f>$E97*$B$11+$B$10+'Станд.норм.распр.'!D90*$B$12*$R97</f>
        <v>223.82167092221789</v>
      </c>
      <c r="K97" s="2">
        <f>$E97*$B$11+$B$10+'Станд.норм.распр.'!E90*$B$12*$R97</f>
        <v>235.92442557215873</v>
      </c>
      <c r="L97" s="2">
        <f>$E97*$B$11+$B$10+'Станд.норм.распр.'!F90*$B$12*$R97</f>
        <v>444.58738532487769</v>
      </c>
      <c r="M97" s="2">
        <f>$E97*$B$11+$B$10+'Станд.норм.распр.'!G90*$B$12*$R97</f>
        <v>-13.544713758863509</v>
      </c>
      <c r="N97" s="2">
        <f>$E97*$B$11+$B$10+'Станд.норм.распр.'!H90*$B$12*$R97</f>
        <v>290.74238202814013</v>
      </c>
      <c r="O97" s="2">
        <f>$E97*$B$11+$B$10+'Станд.норм.распр.'!I90*$B$12*$R97</f>
        <v>412.88010809442494</v>
      </c>
      <c r="P97" s="2">
        <f>$E97*$B$11+$B$10+'Станд.норм.распр.'!J90*$B$12*$R97</f>
        <v>625.19407013244927</v>
      </c>
      <c r="Q97" s="2">
        <f>$E97*$B$11+$B$10+'Станд.норм.распр.'!K90*$B$12*$R97</f>
        <v>710.24463043361902</v>
      </c>
      <c r="R97">
        <v>88</v>
      </c>
    </row>
    <row r="98" spans="3:18" x14ac:dyDescent="0.35">
      <c r="C98" s="4" t="s">
        <v>97</v>
      </c>
      <c r="D98" s="4" t="s">
        <v>5</v>
      </c>
      <c r="E98" s="4">
        <v>970</v>
      </c>
      <c r="F98" s="4"/>
      <c r="G98" s="4" t="s">
        <v>5</v>
      </c>
      <c r="H98" s="2">
        <f>$E98*$B$11+$B$10+'Станд.норм.распр.'!B91*$B$12*$R98</f>
        <v>864.8059153513459</v>
      </c>
      <c r="I98" s="2">
        <f>$E98*$B$11+$B$10+'Станд.норм.распр.'!C91*$B$12*$R98</f>
        <v>831.65467658388661</v>
      </c>
      <c r="J98" s="2">
        <f>$E98*$B$11+$B$10+'Станд.норм.распр.'!D91*$B$12*$R98</f>
        <v>901.4457836640504</v>
      </c>
      <c r="K98" s="2">
        <f>$E98*$B$11+$B$10+'Станд.норм.распр.'!E91*$B$12*$R98</f>
        <v>747.12985424255021</v>
      </c>
      <c r="L98" s="2">
        <f>$E98*$B$11+$B$10+'Станд.норм.распр.'!F91*$B$12*$R98</f>
        <v>1012.773225009616</v>
      </c>
      <c r="M98" s="2">
        <f>$E98*$B$11+$B$10+'Станд.норм.распр.'!G91*$B$12*$R98</f>
        <v>622.65987453272101</v>
      </c>
      <c r="N98" s="2">
        <f>$E98*$B$11+$B$10+'Станд.норм.распр.'!H91*$B$12*$R98</f>
        <v>793.7341567396943</v>
      </c>
      <c r="O98" s="2">
        <f>$E98*$B$11+$B$10+'Станд.норм.распр.'!I91*$B$12*$R98</f>
        <v>1165.9973071785062</v>
      </c>
      <c r="P98" s="2">
        <f>$E98*$B$11+$B$10+'Станд.норм.распр.'!J91*$B$12*$R98</f>
        <v>1025.4498235538194</v>
      </c>
      <c r="Q98" s="2">
        <f>$E98*$B$11+$B$10+'Станд.норм.распр.'!K91*$B$12*$R98</f>
        <v>938.50697084987769</v>
      </c>
      <c r="R98">
        <v>89</v>
      </c>
    </row>
    <row r="99" spans="3:18" x14ac:dyDescent="0.35">
      <c r="C99" s="4" t="s">
        <v>98</v>
      </c>
      <c r="D99" s="4" t="s">
        <v>5</v>
      </c>
      <c r="E99" s="4">
        <v>362</v>
      </c>
      <c r="F99" s="4"/>
      <c r="G99" s="4" t="s">
        <v>5</v>
      </c>
      <c r="H99" s="2">
        <f>$E99*$B$11+$B$10+'Станд.норм.распр.'!B92*$B$12*$R99</f>
        <v>-150.25431593088433</v>
      </c>
      <c r="I99" s="2">
        <f>$E99*$B$11+$B$10+'Станд.норм.распр.'!C92*$B$12*$R99</f>
        <v>-148.11791287641972</v>
      </c>
      <c r="J99" s="2">
        <f>$E99*$B$11+$B$10+'Станд.норм.распр.'!D92*$B$12*$R99</f>
        <v>-20.217355531291105</v>
      </c>
      <c r="K99" s="2">
        <f>$E99*$B$11+$B$10+'Станд.норм.распр.'!E92*$B$12*$R99</f>
        <v>503.79258710605791</v>
      </c>
      <c r="L99" s="2">
        <f>$E99*$B$11+$B$10+'Станд.норм.распр.'!F92*$B$12*$R99</f>
        <v>437.38084060393157</v>
      </c>
      <c r="M99" s="2">
        <f>$E99*$B$11+$B$10+'Станд.норм.распр.'!G92*$B$12*$R99</f>
        <v>737.87053453130648</v>
      </c>
      <c r="N99" s="2">
        <f>$E99*$B$11+$B$10+'Станд.норм.распр.'!H92*$B$12*$R99</f>
        <v>678.07559117680421</v>
      </c>
      <c r="O99" s="2">
        <f>$E99*$B$11+$B$10+'Станд.норм.распр.'!I92*$B$12*$R99</f>
        <v>663.17991923866794</v>
      </c>
      <c r="P99" s="2">
        <f>$E99*$B$11+$B$10+'Станд.норм.распр.'!J92*$B$12*$R99</f>
        <v>456.73873820435017</v>
      </c>
      <c r="Q99" s="2">
        <f>$E99*$B$11+$B$10+'Станд.норм.распр.'!K92*$B$12*$R99</f>
        <v>323.2284666505293</v>
      </c>
      <c r="R99">
        <v>90</v>
      </c>
    </row>
    <row r="100" spans="3:18" x14ac:dyDescent="0.35">
      <c r="C100" s="4" t="s">
        <v>99</v>
      </c>
      <c r="D100" s="4" t="s">
        <v>5</v>
      </c>
      <c r="E100" s="4">
        <v>836</v>
      </c>
      <c r="F100" s="4"/>
      <c r="G100" s="4" t="s">
        <v>5</v>
      </c>
      <c r="H100" s="2">
        <f>$E100*$B$11+$B$10+'Станд.норм.распр.'!B93*$B$12*$R100</f>
        <v>1499.5543134103063</v>
      </c>
      <c r="I100" s="2">
        <f>$E100*$B$11+$B$10+'Станд.норм.распр.'!C93*$B$12*$R100</f>
        <v>1185.0204228506191</v>
      </c>
      <c r="J100" s="2">
        <f>$E100*$B$11+$B$10+'Станд.норм.распр.'!D93*$B$12*$R100</f>
        <v>385.71855015419806</v>
      </c>
      <c r="K100" s="2">
        <f>$E100*$B$11+$B$10+'Станд.норм.распр.'!E93*$B$12*$R100</f>
        <v>1078.9494368293963</v>
      </c>
      <c r="L100" s="2">
        <f>$E100*$B$11+$B$10+'Станд.норм.распр.'!F93*$B$12*$R100</f>
        <v>716.17333135353692</v>
      </c>
      <c r="M100" s="2">
        <f>$E100*$B$11+$B$10+'Станд.норм.распр.'!G93*$B$12*$R100</f>
        <v>1259.6793604427949</v>
      </c>
      <c r="N100" s="2">
        <f>$E100*$B$11+$B$10+'Станд.норм.распр.'!H93*$B$12*$R100</f>
        <v>436.97977987566264</v>
      </c>
      <c r="O100" s="2">
        <f>$E100*$B$11+$B$10+'Станд.норм.распр.'!I93*$B$12*$R100</f>
        <v>1187.5391291679387</v>
      </c>
      <c r="P100" s="2">
        <f>$E100*$B$11+$B$10+'Станд.норм.распр.'!J93*$B$12*$R100</f>
        <v>713.39835728966864</v>
      </c>
      <c r="Q100" s="2">
        <f>$E100*$B$11+$B$10+'Станд.норм.распр.'!K93*$B$12*$R100</f>
        <v>1185.8646158328047</v>
      </c>
      <c r="R100">
        <v>91</v>
      </c>
    </row>
    <row r="101" spans="3:18" x14ac:dyDescent="0.35">
      <c r="C101" s="4" t="s">
        <v>100</v>
      </c>
      <c r="D101" s="4" t="s">
        <v>5</v>
      </c>
      <c r="E101" s="4">
        <v>66</v>
      </c>
      <c r="F101" s="4"/>
      <c r="G101" s="4" t="s">
        <v>5</v>
      </c>
      <c r="H101" s="2">
        <f>$E101*$B$11+$B$10+'Станд.норм.распр.'!B94*$B$12*$R101</f>
        <v>313.25334083591588</v>
      </c>
      <c r="I101" s="2">
        <f>$E101*$B$11+$B$10+'Станд.норм.распр.'!C94*$B$12*$R101</f>
        <v>350.18410989211407</v>
      </c>
      <c r="J101" s="2">
        <f>$E101*$B$11+$B$10+'Станд.норм.распр.'!D94*$B$12*$R101</f>
        <v>-418.34077690273932</v>
      </c>
      <c r="K101" s="2">
        <f>$E101*$B$11+$B$10+'Станд.норм.распр.'!E94*$B$12*$R101</f>
        <v>268.09662875963841</v>
      </c>
      <c r="L101" s="2">
        <f>$E101*$B$11+$B$10+'Станд.норм.распр.'!F94*$B$12*$R101</f>
        <v>320.89942641393282</v>
      </c>
      <c r="M101" s="2">
        <f>$E101*$B$11+$B$10+'Станд.норм.распр.'!G94*$B$12*$R101</f>
        <v>81.000353646930307</v>
      </c>
      <c r="N101" s="2">
        <f>$E101*$B$11+$B$10+'Станд.норм.распр.'!H94*$B$12*$R101</f>
        <v>139.83956768130884</v>
      </c>
      <c r="O101" s="2">
        <f>$E101*$B$11+$B$10+'Станд.норм.распр.'!I94*$B$12*$R101</f>
        <v>240.23178019776242</v>
      </c>
      <c r="P101" s="2">
        <f>$E101*$B$11+$B$10+'Станд.норм.распр.'!J94*$B$12*$R101</f>
        <v>-810.13008576631546</v>
      </c>
      <c r="Q101" s="2">
        <f>$E101*$B$11+$B$10+'Станд.норм.распр.'!K94*$B$12*$R101</f>
        <v>197.21282177558169</v>
      </c>
      <c r="R101">
        <v>92</v>
      </c>
    </row>
    <row r="102" spans="3:18" x14ac:dyDescent="0.35">
      <c r="C102" s="4" t="s">
        <v>101</v>
      </c>
      <c r="D102" s="4" t="s">
        <v>5</v>
      </c>
      <c r="E102" s="4">
        <v>590</v>
      </c>
      <c r="F102" s="4"/>
      <c r="G102" s="4" t="s">
        <v>5</v>
      </c>
      <c r="H102" s="2">
        <f>$E102*$B$11+$B$10+'Станд.норм.распр.'!B95*$B$12*$R102</f>
        <v>539.1929254468705</v>
      </c>
      <c r="I102" s="2">
        <f>$E102*$B$11+$B$10+'Станд.норм.распр.'!C95*$B$12*$R102</f>
        <v>698.45818179000344</v>
      </c>
      <c r="J102" s="2">
        <f>$E102*$B$11+$B$10+'Станд.норм.распр.'!D95*$B$12*$R102</f>
        <v>827.00711904489435</v>
      </c>
      <c r="K102" s="2">
        <f>$E102*$B$11+$B$10+'Станд.норм.распр.'!E95*$B$12*$R102</f>
        <v>321.77695733789005</v>
      </c>
      <c r="L102" s="2">
        <f>$E102*$B$11+$B$10+'Станд.норм.распр.'!F95*$B$12*$R102</f>
        <v>334.23286244523479</v>
      </c>
      <c r="M102" s="2">
        <f>$E102*$B$11+$B$10+'Станд.норм.распр.'!G95*$B$12*$R102</f>
        <v>54.72450870310422</v>
      </c>
      <c r="N102" s="2">
        <f>$E102*$B$11+$B$10+'Станд.норм.распр.'!H95*$B$12*$R102</f>
        <v>367.21325718043954</v>
      </c>
      <c r="O102" s="2">
        <f>$E102*$B$11+$B$10+'Станд.норм.распр.'!I95*$B$12*$R102</f>
        <v>470.57696964965726</v>
      </c>
      <c r="P102" s="2">
        <f>$E102*$B$11+$B$10+'Станд.норм.распр.'!J95*$B$12*$R102</f>
        <v>447.7671528942592</v>
      </c>
      <c r="Q102" s="2">
        <f>$E102*$B$11+$B$10+'Станд.норм.распр.'!K95*$B$12*$R102</f>
        <v>362.93863358232261</v>
      </c>
      <c r="R102">
        <v>93</v>
      </c>
    </row>
    <row r="103" spans="3:18" x14ac:dyDescent="0.35">
      <c r="C103" s="4" t="s">
        <v>102</v>
      </c>
      <c r="D103" s="4" t="s">
        <v>5</v>
      </c>
      <c r="E103" s="4">
        <v>852</v>
      </c>
      <c r="F103" s="4"/>
      <c r="G103" s="4" t="s">
        <v>5</v>
      </c>
      <c r="H103" s="2">
        <f>$E103*$B$11+$B$10+'Станд.норм.распр.'!B96*$B$12*$R103</f>
        <v>651.20515966619132</v>
      </c>
      <c r="I103" s="2">
        <f>$E103*$B$11+$B$10+'Станд.норм.распр.'!C96*$B$12*$R103</f>
        <v>1149.3569310193416</v>
      </c>
      <c r="J103" s="2">
        <f>$E103*$B$11+$B$10+'Станд.норм.распр.'!D96*$B$12*$R103</f>
        <v>307.20044022734658</v>
      </c>
      <c r="K103" s="2">
        <f>$E103*$B$11+$B$10+'Станд.норм.распр.'!E96*$B$12*$R103</f>
        <v>638.53837684355676</v>
      </c>
      <c r="L103" s="2">
        <f>$E103*$B$11+$B$10+'Станд.норм.распр.'!F96*$B$12*$R103</f>
        <v>1005.8087151453074</v>
      </c>
      <c r="M103" s="2">
        <f>$E103*$B$11+$B$10+'Станд.норм.распр.'!G96*$B$12*$R103</f>
        <v>1003.544339365093</v>
      </c>
      <c r="N103" s="2">
        <f>$E103*$B$11+$B$10+'Станд.норм.распр.'!H96*$B$12*$R103</f>
        <v>636.51060156253516</v>
      </c>
      <c r="O103" s="2">
        <f>$E103*$B$11+$B$10+'Станд.норм.распр.'!I96*$B$12*$R103</f>
        <v>296.77697068173438</v>
      </c>
      <c r="P103" s="2">
        <f>$E103*$B$11+$B$10+'Станд.норм.распр.'!J96*$B$12*$R103</f>
        <v>1098.4968004056136</v>
      </c>
      <c r="Q103" s="2">
        <f>$E103*$B$11+$B$10+'Станд.норм.распр.'!K96*$B$12*$R103</f>
        <v>1161.2683875871007</v>
      </c>
      <c r="R103">
        <v>94</v>
      </c>
    </row>
    <row r="104" spans="3:18" x14ac:dyDescent="0.35">
      <c r="C104" s="4" t="s">
        <v>103</v>
      </c>
      <c r="D104" s="4" t="s">
        <v>5</v>
      </c>
      <c r="E104" s="4">
        <v>963</v>
      </c>
      <c r="F104" s="4"/>
      <c r="G104" s="4" t="s">
        <v>5</v>
      </c>
      <c r="H104" s="2">
        <f>$E104*$B$11+$B$10+'Станд.норм.распр.'!B97*$B$12*$R104</f>
        <v>1161.6803210962098</v>
      </c>
      <c r="I104" s="2">
        <f>$E104*$B$11+$B$10+'Станд.норм.распр.'!C97*$B$12*$R104</f>
        <v>777.13397859391989</v>
      </c>
      <c r="J104" s="2">
        <f>$E104*$B$11+$B$10+'Станд.норм.распр.'!D97*$B$12*$R104</f>
        <v>1044.314440881717</v>
      </c>
      <c r="K104" s="2">
        <f>$E104*$B$11+$B$10+'Станд.норм.распр.'!E97*$B$12*$R104</f>
        <v>1059.3432041822234</v>
      </c>
      <c r="L104" s="2">
        <f>$E104*$B$11+$B$10+'Станд.норм.распр.'!F97*$B$12*$R104</f>
        <v>971.96648498887953</v>
      </c>
      <c r="M104" s="2">
        <f>$E104*$B$11+$B$10+'Станд.норм.распр.'!G97*$B$12*$R104</f>
        <v>1151.1892826582334</v>
      </c>
      <c r="N104" s="2">
        <f>$E104*$B$11+$B$10+'Станд.норм.распр.'!H97*$B$12*$R104</f>
        <v>1284.9839625267487</v>
      </c>
      <c r="O104" s="2">
        <f>$E104*$B$11+$B$10+'Станд.норм.распр.'!I97*$B$12*$R104</f>
        <v>1222.7803570602555</v>
      </c>
      <c r="P104" s="2">
        <f>$E104*$B$11+$B$10+'Станд.норм.распр.'!J97*$B$12*$R104</f>
        <v>852.42035839095479</v>
      </c>
      <c r="Q104" s="2">
        <f>$E104*$B$11+$B$10+'Станд.норм.распр.'!K97*$B$12*$R104</f>
        <v>773.4065964576439</v>
      </c>
      <c r="R104">
        <v>95</v>
      </c>
    </row>
    <row r="105" spans="3:18" x14ac:dyDescent="0.35">
      <c r="C105" s="4" t="s">
        <v>104</v>
      </c>
      <c r="D105" s="4" t="s">
        <v>5</v>
      </c>
      <c r="E105" s="4">
        <v>802</v>
      </c>
      <c r="F105" s="4"/>
      <c r="G105" s="4" t="s">
        <v>5</v>
      </c>
      <c r="H105" s="2">
        <f>$E105*$B$11+$B$10+'Станд.норм.распр.'!B98*$B$12*$R105</f>
        <v>516.91916153859347</v>
      </c>
      <c r="I105" s="2">
        <f>$E105*$B$11+$B$10+'Станд.норм.распр.'!C98*$B$12*$R105</f>
        <v>1370.6166543960571</v>
      </c>
      <c r="J105" s="2">
        <f>$E105*$B$11+$B$10+'Станд.норм.распр.'!D98*$B$12*$R105</f>
        <v>814.21380739985034</v>
      </c>
      <c r="K105" s="2">
        <f>$E105*$B$11+$B$10+'Станд.норм.распр.'!E98*$B$12*$R105</f>
        <v>773.60685966722781</v>
      </c>
      <c r="L105" s="2">
        <f>$E105*$B$11+$B$10+'Станд.норм.распр.'!F98*$B$12*$R105</f>
        <v>856.91557608917378</v>
      </c>
      <c r="M105" s="2">
        <f>$E105*$B$11+$B$10+'Станд.норм.распр.'!G98*$B$12*$R105</f>
        <v>1218.431415265426</v>
      </c>
      <c r="N105" s="2">
        <f>$E105*$B$11+$B$10+'Станд.норм.распр.'!H98*$B$12*$R105</f>
        <v>1106.5578917004168</v>
      </c>
      <c r="O105" s="2">
        <f>$E105*$B$11+$B$10+'Станд.норм.распр.'!I98*$B$12*$R105</f>
        <v>684.23177138529718</v>
      </c>
      <c r="P105" s="2">
        <f>$E105*$B$11+$B$10+'Станд.норм.распр.'!J98*$B$12*$R105</f>
        <v>583.59982061292976</v>
      </c>
      <c r="Q105" s="2">
        <f>$E105*$B$11+$B$10+'Станд.норм.распр.'!K98*$B$12*$R105</f>
        <v>686.60555255692452</v>
      </c>
      <c r="R105">
        <v>96</v>
      </c>
    </row>
    <row r="106" spans="3:18" x14ac:dyDescent="0.35">
      <c r="C106" s="4" t="s">
        <v>105</v>
      </c>
      <c r="D106" s="4" t="s">
        <v>5</v>
      </c>
      <c r="E106" s="4">
        <v>686</v>
      </c>
      <c r="F106" s="4"/>
      <c r="G106" s="4" t="s">
        <v>5</v>
      </c>
      <c r="H106" s="2">
        <f>$E106*$B$11+$B$10+'Станд.норм.распр.'!B99*$B$12*$R106</f>
        <v>329.07071264152182</v>
      </c>
      <c r="I106" s="2">
        <f>$E106*$B$11+$B$10+'Станд.норм.распр.'!C99*$B$12*$R106</f>
        <v>777.20895083974756</v>
      </c>
      <c r="J106" s="2">
        <f>$E106*$B$11+$B$10+'Станд.норм.распр.'!D99*$B$12*$R106</f>
        <v>80.614390671951696</v>
      </c>
      <c r="K106" s="2">
        <f>$E106*$B$11+$B$10+'Станд.норм.распр.'!E99*$B$12*$R106</f>
        <v>748.70938184166152</v>
      </c>
      <c r="L106" s="2">
        <f>$E106*$B$11+$B$10+'Станд.норм.распр.'!F99*$B$12*$R106</f>
        <v>260.99675315880449</v>
      </c>
      <c r="M106" s="2">
        <f>$E106*$B$11+$B$10+'Станд.норм.распр.'!G99*$B$12*$R106</f>
        <v>654.41162397281732</v>
      </c>
      <c r="N106" s="2">
        <f>$E106*$B$11+$B$10+'Станд.норм.распр.'!H99*$B$12*$R106</f>
        <v>843.85670780637884</v>
      </c>
      <c r="O106" s="2">
        <f>$E106*$B$11+$B$10+'Станд.норм.распр.'!I99*$B$12*$R106</f>
        <v>171.53141007828526</v>
      </c>
      <c r="P106" s="2">
        <f>$E106*$B$11+$B$10+'Станд.норм.распр.'!J99*$B$12*$R106</f>
        <v>806.56867445203534</v>
      </c>
      <c r="Q106" s="2">
        <f>$E106*$B$11+$B$10+'Станд.норм.распр.'!K99*$B$12*$R106</f>
        <v>421.28788883009111</v>
      </c>
      <c r="R106">
        <v>97</v>
      </c>
    </row>
    <row r="107" spans="3:18" x14ac:dyDescent="0.35">
      <c r="C107" s="4" t="s">
        <v>106</v>
      </c>
      <c r="D107" s="4" t="s">
        <v>5</v>
      </c>
      <c r="E107" s="4">
        <v>256</v>
      </c>
      <c r="F107" s="4"/>
      <c r="G107" s="4" t="s">
        <v>5</v>
      </c>
      <c r="H107" s="2">
        <f>$E107*$B$11+$B$10+'Станд.норм.распр.'!B100*$B$12*$R107</f>
        <v>-68.43949452904053</v>
      </c>
      <c r="I107" s="2">
        <f>$E107*$B$11+$B$10+'Станд.норм.распр.'!C100*$B$12*$R107</f>
        <v>1096.7320849578828</v>
      </c>
      <c r="J107" s="2">
        <f>$E107*$B$11+$B$10+'Станд.норм.распр.'!D100*$B$12*$R107</f>
        <v>497.99718905542977</v>
      </c>
      <c r="K107" s="2">
        <f>$E107*$B$11+$B$10+'Станд.норм.распр.'!E100*$B$12*$R107</f>
        <v>201.87319929955993</v>
      </c>
      <c r="L107" s="2">
        <f>$E107*$B$11+$B$10+'Станд.норм.распр.'!F100*$B$12*$R107</f>
        <v>-135.74192056129687</v>
      </c>
      <c r="M107" s="2">
        <f>$E107*$B$11+$B$10+'Станд.норм.распр.'!G100*$B$12*$R107</f>
        <v>-17.160500677884556</v>
      </c>
      <c r="N107" s="2">
        <f>$E107*$B$11+$B$10+'Станд.норм.распр.'!H100*$B$12*$R107</f>
        <v>227.11996504422859</v>
      </c>
      <c r="O107" s="2">
        <f>$E107*$B$11+$B$10+'Станд.норм.распр.'!I100*$B$12*$R107</f>
        <v>455.41844425880117</v>
      </c>
      <c r="P107" s="2">
        <f>$E107*$B$11+$B$10+'Станд.норм.распр.'!J100*$B$12*$R107</f>
        <v>-305.31355153815821</v>
      </c>
      <c r="Q107" s="2">
        <f>$E107*$B$11+$B$10+'Станд.норм.распр.'!K100*$B$12*$R107</f>
        <v>-4.9213258842355572</v>
      </c>
      <c r="R107">
        <v>98</v>
      </c>
    </row>
    <row r="108" spans="3:18" x14ac:dyDescent="0.35">
      <c r="C108" s="4" t="s">
        <v>107</v>
      </c>
      <c r="D108" s="4" t="s">
        <v>5</v>
      </c>
      <c r="E108" s="4">
        <v>240</v>
      </c>
      <c r="F108" s="4"/>
      <c r="G108" s="4" t="s">
        <v>5</v>
      </c>
      <c r="H108" s="2">
        <f>$E108*$B$11+$B$10+'Станд.норм.распр.'!B101*$B$12*$R108</f>
        <v>561.81388929125387</v>
      </c>
      <c r="I108" s="2">
        <f>$E108*$B$11+$B$10+'Станд.норм.распр.'!C101*$B$12*$R108</f>
        <v>25.079517783335177</v>
      </c>
      <c r="J108" s="2">
        <f>$E108*$B$11+$B$10+'Станд.норм.распр.'!D101*$B$12*$R108</f>
        <v>-223.70069885044217</v>
      </c>
      <c r="K108" s="2">
        <f>$E108*$B$11+$B$10+'Станд.норм.распр.'!E101*$B$12*$R108</f>
        <v>332.35781658894848</v>
      </c>
      <c r="L108" s="2">
        <f>$E108*$B$11+$B$10+'Станд.норм.распр.'!F101*$B$12*$R108</f>
        <v>51.361511324823368</v>
      </c>
      <c r="M108" s="2">
        <f>$E108*$B$11+$B$10+'Станд.норм.распр.'!G101*$B$12*$R108</f>
        <v>444.46481026429524</v>
      </c>
      <c r="N108" s="2">
        <f>$E108*$B$11+$B$10+'Станд.норм.распр.'!H101*$B$12*$R108</f>
        <v>343.53740504392772</v>
      </c>
      <c r="O108" s="2">
        <f>$E108*$B$11+$B$10+'Станд.норм.распр.'!I101*$B$12*$R108</f>
        <v>600.7206128941034</v>
      </c>
      <c r="P108" s="2">
        <f>$E108*$B$11+$B$10+'Станд.норм.распр.'!J101*$B$12*$R108</f>
        <v>476.88345732403104</v>
      </c>
      <c r="Q108" s="2">
        <f>$E108*$B$11+$B$10+'Станд.норм.распр.'!K101*$B$12*$R108</f>
        <v>279.25629085238324</v>
      </c>
      <c r="R108">
        <v>99</v>
      </c>
    </row>
    <row r="109" spans="3:18" x14ac:dyDescent="0.35">
      <c r="C109" s="4" t="s">
        <v>108</v>
      </c>
      <c r="D109" s="4" t="s">
        <v>5</v>
      </c>
      <c r="E109" s="4">
        <v>629</v>
      </c>
      <c r="F109" s="4"/>
      <c r="G109" s="4" t="s">
        <v>5</v>
      </c>
      <c r="H109" s="2">
        <f>$E109*$B$11+$B$10+'Станд.норм.распр.'!B102*$B$12*$R109</f>
        <v>1129.2700012</v>
      </c>
      <c r="I109" s="2">
        <f>$E109*$B$11+$B$10+'Станд.норм.распр.'!C102*$B$12*$R109</f>
        <v>562.35918430000004</v>
      </c>
      <c r="J109" s="2">
        <f>$E109*$B$11+$B$10+'Станд.норм.распр.'!D102*$B$12*$R109</f>
        <v>87.449305900000013</v>
      </c>
      <c r="K109" s="2">
        <f>$E109*$B$11+$B$10+'Станд.норм.распр.'!E102*$B$12*$R109</f>
        <v>1067.1395152</v>
      </c>
      <c r="L109" s="2">
        <f>$E109*$B$11+$B$10+'Станд.норм.распр.'!F102*$B$12*$R109</f>
        <v>296.32063360000001</v>
      </c>
      <c r="M109" s="2">
        <f>$E109*$B$11+$B$10+'Станд.норм.распр.'!G102*$B$12*$R109</f>
        <v>350.67653440000004</v>
      </c>
      <c r="N109" s="2">
        <f>$E109*$B$11+$B$10+'Станд.норм.распр.'!H102*$B$12*$R109</f>
        <v>919.5242581</v>
      </c>
      <c r="O109" s="2">
        <f>$E109*$B$11+$B$10+'Станд.норм.распр.'!I102*$B$12*$R109</f>
        <v>669.07930329999999</v>
      </c>
      <c r="P109" s="2">
        <f>$E109*$B$11+$B$10+'Станд.норм.распр.'!J102*$B$12*$R109</f>
        <v>114.34360089999996</v>
      </c>
      <c r="Q109" s="2">
        <f>$E109*$B$11+$B$10+'Станд.норм.распр.'!K102*$B$12*$R109</f>
        <v>727.81414359999997</v>
      </c>
      <c r="R109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09"/>
  <sheetViews>
    <sheetView workbookViewId="0">
      <selection activeCell="H11" sqref="H11"/>
    </sheetView>
  </sheetViews>
  <sheetFormatPr defaultRowHeight="14.5" x14ac:dyDescent="0.35"/>
  <cols>
    <col min="1" max="1" width="15.1796875" customWidth="1"/>
    <col min="4" max="4" width="19.1796875" customWidth="1"/>
  </cols>
  <sheetData>
    <row r="1" spans="1:33" x14ac:dyDescent="0.35">
      <c r="A1" s="5" t="s">
        <v>212</v>
      </c>
      <c r="B1" s="5" t="s">
        <v>8</v>
      </c>
      <c r="D1" s="5" t="s">
        <v>213</v>
      </c>
      <c r="E1" s="5" t="s">
        <v>214</v>
      </c>
    </row>
    <row r="2" spans="1:33" x14ac:dyDescent="0.35">
      <c r="A2" t="s">
        <v>231</v>
      </c>
      <c r="B2">
        <v>0.2</v>
      </c>
      <c r="E2">
        <v>1</v>
      </c>
      <c r="H2">
        <v>2</v>
      </c>
      <c r="K2">
        <v>3</v>
      </c>
      <c r="N2">
        <v>4</v>
      </c>
      <c r="Q2">
        <v>5</v>
      </c>
      <c r="T2">
        <v>6</v>
      </c>
      <c r="W2">
        <v>7</v>
      </c>
      <c r="Z2">
        <v>8</v>
      </c>
      <c r="AC2">
        <v>9</v>
      </c>
      <c r="AF2">
        <v>10</v>
      </c>
    </row>
    <row r="3" spans="1:33" x14ac:dyDescent="0.35">
      <c r="E3" cm="1">
        <f t="array" ref="E3:F7">LINEST(H$10:H$109,$E$10:$E$109,1,1)</f>
        <v>1.0006672281705569</v>
      </c>
      <c r="F3">
        <v>1.6417061409825919</v>
      </c>
      <c r="H3" cm="1">
        <f t="array" ref="H3:I7">LINEST(I$10:I$109,$E$10:$E$109,1,1)</f>
        <v>1.0000347369530584</v>
      </c>
      <c r="I3">
        <v>1.9819771990411255</v>
      </c>
      <c r="K3" cm="1">
        <f t="array" ref="K3:L7">LINEST(J$10:J$109,$E$10:$E$109,1,1)</f>
        <v>0.9994070713815405</v>
      </c>
      <c r="L3">
        <v>2.3190676255898097</v>
      </c>
      <c r="N3" s="5" cm="1">
        <f t="array" ref="N3:O7">LINEST(K$10:K$109,$E$10:$E$109,1,1)</f>
        <v>0.99859238767776104</v>
      </c>
      <c r="O3">
        <v>2.7459562347821702</v>
      </c>
      <c r="Q3" s="5" cm="1">
        <f t="array" ref="Q3:R7">LINEST(L$10:L$109,$E$10:$E$109,1,1)</f>
        <v>0.99967841937049273</v>
      </c>
      <c r="R3">
        <v>2.1733153064872113</v>
      </c>
      <c r="T3" s="5" cm="1">
        <f t="array" ref="T3:U7">LINEST(M$10:M$109,$E$10:$E$109,1,1)</f>
        <v>0.99814846547642266</v>
      </c>
      <c r="U3">
        <v>2.9869037049959388</v>
      </c>
      <c r="W3" cm="1">
        <f t="array" ref="W3:X7">LINEST(N$10:N$109,$E$10:$E$109,1,1)</f>
        <v>1.0004251483906703</v>
      </c>
      <c r="X3">
        <v>1.7718933096257388</v>
      </c>
      <c r="Z3" cm="1">
        <f t="array" ref="Z3:AA7">LINEST(O$10:O$109,$E$10:$E$109,1,1)</f>
        <v>0.99979624806855183</v>
      </c>
      <c r="AA3">
        <v>2.1081442030363178</v>
      </c>
      <c r="AC3" cm="1">
        <f t="array" ref="AC3:AD7">LINEST(P$10:P$109,$E$10:$E$109,1,1)</f>
        <v>1.0009576099903912</v>
      </c>
      <c r="AD3">
        <v>1.4939862850023928</v>
      </c>
      <c r="AF3" cm="1">
        <f t="array" ref="AF3:AG7">LINEST(Q$10:Q$109,$E$10:$E$109,1,1)</f>
        <v>0.99980015221374008</v>
      </c>
      <c r="AG3">
        <v>2.1056755931390398</v>
      </c>
    </row>
    <row r="4" spans="1:33" x14ac:dyDescent="0.35">
      <c r="E4">
        <v>9.6669277343586549E-4</v>
      </c>
      <c r="F4">
        <v>0.57901962278459274</v>
      </c>
      <c r="H4">
        <v>1.176467017788465E-3</v>
      </c>
      <c r="I4">
        <v>0.70466802646847881</v>
      </c>
      <c r="K4">
        <v>1.1417666563144331E-3</v>
      </c>
      <c r="L4">
        <v>0.68388356343813028</v>
      </c>
      <c r="N4">
        <v>9.5530160049237629E-4</v>
      </c>
      <c r="O4">
        <v>0.57219665602404646</v>
      </c>
      <c r="Q4">
        <v>9.4803818543051145E-4</v>
      </c>
      <c r="R4">
        <v>0.56784609091709848</v>
      </c>
      <c r="T4">
        <v>1.0313692824621789E-3</v>
      </c>
      <c r="U4">
        <v>0.6177588881318834</v>
      </c>
      <c r="W4">
        <v>1.1350878478542479E-3</v>
      </c>
      <c r="X4">
        <v>0.67988315993710668</v>
      </c>
      <c r="Z4">
        <v>1.1654919251156816E-3</v>
      </c>
      <c r="AA4">
        <v>0.69809427915801292</v>
      </c>
      <c r="AC4">
        <v>9.4337899407314534E-4</v>
      </c>
      <c r="AD4">
        <v>0.56505537674569228</v>
      </c>
      <c r="AF4">
        <v>9.3675843242750764E-4</v>
      </c>
      <c r="AG4">
        <v>0.5610898613182268</v>
      </c>
    </row>
    <row r="5" spans="1:33" x14ac:dyDescent="0.35">
      <c r="E5">
        <v>0.99990854994986889</v>
      </c>
      <c r="F5">
        <v>2.6602498137934592</v>
      </c>
      <c r="H5">
        <v>0.99986438850076853</v>
      </c>
      <c r="I5">
        <v>3.237529286457987</v>
      </c>
      <c r="K5">
        <v>0.99987210887563338</v>
      </c>
      <c r="L5">
        <v>3.1420370756061766</v>
      </c>
      <c r="N5">
        <v>0.99991032081860143</v>
      </c>
      <c r="O5">
        <v>2.6289023510477714</v>
      </c>
      <c r="Q5">
        <v>0.99991187100306556</v>
      </c>
      <c r="R5">
        <v>2.6089140992507156</v>
      </c>
      <c r="T5">
        <v>0.99989537903169645</v>
      </c>
      <c r="U5">
        <v>2.8382336322537265</v>
      </c>
      <c r="W5">
        <v>0.99987385761531722</v>
      </c>
      <c r="X5">
        <v>3.1236576075364813</v>
      </c>
      <c r="Z5">
        <v>0.9998668430695723</v>
      </c>
      <c r="AA5">
        <v>3.2073268384399203</v>
      </c>
      <c r="AC5">
        <v>0.99991295791127688</v>
      </c>
      <c r="AD5">
        <v>2.5960924321384149</v>
      </c>
      <c r="AF5">
        <v>0.99991397641457469</v>
      </c>
      <c r="AG5">
        <v>2.5778732539579292</v>
      </c>
    </row>
    <row r="6" spans="1:33" x14ac:dyDescent="0.35">
      <c r="E6">
        <v>1071525.2507196357</v>
      </c>
      <c r="F6">
        <v>98</v>
      </c>
      <c r="H6">
        <v>722554.58149493835</v>
      </c>
      <c r="I6">
        <v>98</v>
      </c>
      <c r="K6">
        <v>766178.78805189265</v>
      </c>
      <c r="L6">
        <v>98</v>
      </c>
      <c r="N6">
        <v>1092686.283617998</v>
      </c>
      <c r="O6">
        <v>98</v>
      </c>
      <c r="Q6">
        <v>1111908.3022261749</v>
      </c>
      <c r="R6">
        <v>98</v>
      </c>
      <c r="T6">
        <v>936616.71014978562</v>
      </c>
      <c r="U6">
        <v>98</v>
      </c>
      <c r="W6">
        <v>776801.85207124217</v>
      </c>
      <c r="X6">
        <v>98</v>
      </c>
      <c r="Z6">
        <v>735875.70925603784</v>
      </c>
      <c r="AA6">
        <v>98</v>
      </c>
      <c r="AC6">
        <v>1125794.0993009922</v>
      </c>
      <c r="AD6">
        <v>98</v>
      </c>
      <c r="AF6">
        <v>1139124.452952472</v>
      </c>
      <c r="AG6">
        <v>98</v>
      </c>
    </row>
    <row r="7" spans="1:33" x14ac:dyDescent="0.35">
      <c r="E7">
        <v>7583108.1979728602</v>
      </c>
      <c r="F7">
        <v>693.53904903523721</v>
      </c>
      <c r="H7">
        <v>7573525.1249588663</v>
      </c>
      <c r="I7">
        <v>1027.1963963059698</v>
      </c>
      <c r="K7">
        <v>7564021.1567389695</v>
      </c>
      <c r="L7">
        <v>967.49490447941389</v>
      </c>
      <c r="N7">
        <v>7551694.3015423017</v>
      </c>
      <c r="O7">
        <v>677.29050199176095</v>
      </c>
      <c r="Q7">
        <v>7568129.1135899546</v>
      </c>
      <c r="R7">
        <v>667.03041217237887</v>
      </c>
      <c r="T7">
        <v>7544981.6134503745</v>
      </c>
      <c r="U7">
        <v>789.44587482310567</v>
      </c>
      <c r="W7">
        <v>7579439.6554946015</v>
      </c>
      <c r="X7">
        <v>956.20921121381218</v>
      </c>
      <c r="Z7">
        <v>7569913.2780497801</v>
      </c>
      <c r="AA7">
        <v>1008.1206539605472</v>
      </c>
      <c r="AC7">
        <v>7587509.893548103</v>
      </c>
      <c r="AD7">
        <v>660.4901997882223</v>
      </c>
      <c r="AF7">
        <v>7569972.3982920488</v>
      </c>
      <c r="AG7">
        <v>651.25219032022085</v>
      </c>
    </row>
    <row r="8" spans="1:33" x14ac:dyDescent="0.35">
      <c r="E8">
        <f>ABS(F3)/F4</f>
        <v>2.8353203870490251</v>
      </c>
      <c r="F8">
        <f>F7/(E7/F6)</f>
        <v>8.9629245727526809E-3</v>
      </c>
      <c r="H8">
        <f>ABS(I3)/I4</f>
        <v>2.8126396041750636</v>
      </c>
      <c r="I8">
        <f>I7/(H7/I6)</f>
        <v>1.329172943603746E-2</v>
      </c>
      <c r="K8">
        <f>ABS(L3)/L4</f>
        <v>3.3910269957812953</v>
      </c>
      <c r="L8">
        <f>L7/(K7/L6)</f>
        <v>1.2534933294641835E-2</v>
      </c>
      <c r="N8">
        <f>ABS(O3)/O4</f>
        <v>4.7989728808669794</v>
      </c>
      <c r="O8">
        <f>O7/(N7/O6)</f>
        <v>8.7893479985857934E-3</v>
      </c>
      <c r="Q8">
        <f>ABS(R3)/R4</f>
        <v>3.8272964122676334</v>
      </c>
      <c r="R8">
        <f>R7/(Q7/R6)</f>
        <v>8.6374029052320497E-3</v>
      </c>
      <c r="T8">
        <f>ABS(U3)/U4</f>
        <v>4.8350639098506569</v>
      </c>
      <c r="U8">
        <f>U7/(T7/U6)</f>
        <v>1.0253927669584401E-2</v>
      </c>
      <c r="W8">
        <f>ABS(X3)/X4</f>
        <v>2.6061732574603695</v>
      </c>
      <c r="X8">
        <f>X7/(W7/X6)</f>
        <v>1.2363513261962713E-2</v>
      </c>
      <c r="Z8">
        <f>ABS(AA3)/AA4</f>
        <v>3.0198560079578329</v>
      </c>
      <c r="AA8">
        <f>AA7/(Z7/AA6)</f>
        <v>1.3051117028593778E-2</v>
      </c>
      <c r="AC8">
        <f>ABS(AD3)/AD4</f>
        <v>2.6439643732029707</v>
      </c>
      <c r="AD8">
        <f>AD7/(AC7/AD6)</f>
        <v>8.5308672393674314E-3</v>
      </c>
      <c r="AF8">
        <f>ABS(AG3)/AG4</f>
        <v>3.7528312990577963</v>
      </c>
      <c r="AG8">
        <f>AG7/(AF7/AG6)</f>
        <v>8.4310366396819943E-3</v>
      </c>
    </row>
    <row r="9" spans="1:33" x14ac:dyDescent="0.35">
      <c r="A9" s="3" t="s">
        <v>1</v>
      </c>
      <c r="B9" s="3" t="s">
        <v>217</v>
      </c>
      <c r="C9" s="3"/>
      <c r="D9" s="3"/>
      <c r="E9" s="3"/>
      <c r="F9" s="3"/>
      <c r="G9" s="3"/>
      <c r="H9" s="3">
        <v>1</v>
      </c>
      <c r="I9" s="3">
        <v>2</v>
      </c>
      <c r="J9" s="3">
        <v>3</v>
      </c>
      <c r="K9" s="3">
        <v>4</v>
      </c>
      <c r="L9" s="3">
        <v>5</v>
      </c>
      <c r="M9" s="3">
        <v>6</v>
      </c>
      <c r="N9" s="3">
        <v>7</v>
      </c>
      <c r="O9" s="3">
        <v>8</v>
      </c>
      <c r="P9" s="3">
        <v>9</v>
      </c>
      <c r="Q9" s="3">
        <v>10</v>
      </c>
    </row>
    <row r="10" spans="1:33" x14ac:dyDescent="0.35">
      <c r="A10" s="1" t="s">
        <v>2</v>
      </c>
      <c r="B10" s="2">
        <v>2</v>
      </c>
      <c r="C10" s="4" t="s">
        <v>9</v>
      </c>
      <c r="D10" s="4" t="s">
        <v>5</v>
      </c>
      <c r="E10" s="4">
        <v>212</v>
      </c>
      <c r="F10" s="4" t="s">
        <v>216</v>
      </c>
      <c r="G10" s="4" t="s">
        <v>5</v>
      </c>
      <c r="H10" s="2">
        <f>$E10*$B$11+$B$10+'Станд.норм.распр.'!B3*$B$12</f>
        <v>213.91564891388407</v>
      </c>
      <c r="I10" s="2">
        <f>$E10*$B$11+$B$10+'Станд.норм.распр.'!C3*$B$12</f>
        <v>208.89485617232276</v>
      </c>
      <c r="J10" s="2">
        <f>$E10*$B$11+$B$10+'Станд.норм.распр.'!D3*$B$12</f>
        <v>212.37545374248293</v>
      </c>
      <c r="K10" s="2">
        <f>$E10*$B$11+$B$10+'Станд.норм.распр.'!E3*$B$12</f>
        <v>215.19771243589639</v>
      </c>
      <c r="L10" s="2">
        <f>$E10*$B$11+$B$10+'Станд.норм.распр.'!F3*$B$12</f>
        <v>211.17976141558029</v>
      </c>
      <c r="M10" s="2">
        <f>$E10*$B$11+$B$10+'Станд.норм.распр.'!G3*$B$12</f>
        <v>215.14471163215057</v>
      </c>
      <c r="N10" s="2">
        <f>$E10*$B$11+$B$10+'Станд.норм.распр.'!H3*$B$12</f>
        <v>216.64779600911424</v>
      </c>
      <c r="O10" s="2">
        <f>$E10*$B$11+$B$10+'Станд.норм.распр.'!I3*$B$12</f>
        <v>207.63319147960283</v>
      </c>
      <c r="P10" s="2">
        <f>$E10*$B$11+$B$10+'Станд.норм.распр.'!J3*$B$12</f>
        <v>216.43456497628358</v>
      </c>
      <c r="Q10" s="2">
        <f>$E10*$B$11+$B$10+'Станд.норм.распр.'!K3*$B$12</f>
        <v>211.16007778260973</v>
      </c>
    </row>
    <row r="11" spans="1:33" x14ac:dyDescent="0.35">
      <c r="A11" s="1" t="s">
        <v>3</v>
      </c>
      <c r="B11" s="2">
        <v>1</v>
      </c>
      <c r="C11" s="4" t="s">
        <v>10</v>
      </c>
      <c r="D11" s="4" t="s">
        <v>5</v>
      </c>
      <c r="E11" s="4">
        <v>780</v>
      </c>
      <c r="F11" s="4"/>
      <c r="G11" s="4" t="s">
        <v>5</v>
      </c>
      <c r="H11" s="2">
        <f>$E11*$B$11+$B$10+'Станд.норм.распр.'!B4*$B$12+$B$2*'Станд.норм.распр.'!B3</f>
        <v>781.59305750962812</v>
      </c>
      <c r="I11" s="2">
        <f>$E11*$B$11+$B$10+'Станд.норм.распр.'!C4*$B$12+$B$2*'Станд.норм.распр.'!C3</f>
        <v>787.83675409870921</v>
      </c>
      <c r="J11" s="2">
        <f>$E11*$B$11+$B$10+'Станд.норм.распр.'!D4*$B$12+$B$2*'Станд.норм.распр.'!D3</f>
        <v>788.02178215558524</v>
      </c>
      <c r="K11" s="2">
        <f>$E11*$B$11+$B$10+'Станд.норм.распр.'!E4*$B$12+$B$2*'Станд.норм.распр.'!E3</f>
        <v>785.98941051571455</v>
      </c>
      <c r="L11" s="2">
        <f>$E11*$B$11+$B$10+'Станд.норм.распр.'!F4*$B$12+$B$2*'Станд.норм.распр.'!F3</f>
        <v>784.16545170183531</v>
      </c>
      <c r="M11" s="2">
        <f>$E11*$B$11+$B$10+'Станд.норм.распр.'!G4*$B$12+$B$2*'Станд.норм.распр.'!G3</f>
        <v>779.32950141151377</v>
      </c>
      <c r="N11" s="2">
        <f>$E11*$B$11+$B$10+'Станд.норм.распр.'!H4*$B$12+$B$2*'Станд.норм.распр.'!H3</f>
        <v>779.60389108207892</v>
      </c>
      <c r="O11" s="2">
        <f>$E11*$B$11+$B$10+'Станд.норм.распр.'!I4*$B$12+$B$2*'Станд.норм.распр.'!I3</f>
        <v>783.53032078742399</v>
      </c>
      <c r="P11" s="2">
        <f>$E11*$B$11+$B$10+'Станд.норм.распр.'!J4*$B$12+$B$2*'Станд.норм.распр.'!J3</f>
        <v>782.30292358133011</v>
      </c>
      <c r="Q11" s="2">
        <f>$E11*$B$11+$B$10+'Станд.норм.распр.'!K4*$B$12+$B$2*'Станд.норм.распр.'!K3</f>
        <v>783.92136576515622</v>
      </c>
    </row>
    <row r="12" spans="1:33" x14ac:dyDescent="0.35">
      <c r="A12" s="1" t="s">
        <v>4</v>
      </c>
      <c r="B12" s="2">
        <v>3</v>
      </c>
      <c r="C12" s="4" t="s">
        <v>11</v>
      </c>
      <c r="D12" s="4" t="s">
        <v>5</v>
      </c>
      <c r="E12" s="4">
        <v>280</v>
      </c>
      <c r="F12" s="4"/>
      <c r="G12" s="4" t="s">
        <v>5</v>
      </c>
      <c r="H12" s="2">
        <f>$E12*$B$11+$B$10+'Станд.норм.распр.'!B5*$B$12+$B$2*'Станд.норм.распр.'!B4</f>
        <v>280.05746415404428</v>
      </c>
      <c r="I12" s="2">
        <f>$E12*$B$11+$B$10+'Станд.норм.распр.'!C5*$B$12+$B$2*'Станд.норм.распр.'!C4</f>
        <v>281.25597967376234</v>
      </c>
      <c r="J12" s="2">
        <f>$E12*$B$11+$B$10+'Станд.норм.распр.'!D5*$B$12+$B$2*'Станд.норм.распр.'!D4</f>
        <v>285.21287188853603</v>
      </c>
      <c r="K12" s="2">
        <f>$E12*$B$11+$B$10+'Станд.норм.распр.'!E5*$B$12+$B$2*'Станд.норм.распр.'!E4</f>
        <v>288.49822504783515</v>
      </c>
      <c r="L12" s="2">
        <f>$E12*$B$11+$B$10+'Станд.норм.распр.'!F5*$B$12+$B$2*'Станд.норм.распр.'!F4</f>
        <v>283.27696443996683</v>
      </c>
      <c r="M12" s="2">
        <f>$E12*$B$11+$B$10+'Станд.норм.распр.'!G5*$B$12+$B$2*'Станд.норм.распр.'!G4</f>
        <v>281.66224572744977</v>
      </c>
      <c r="N12" s="2">
        <f>$E12*$B$11+$B$10+'Станд.норм.распр.'!H5*$B$12+$B$2*'Станд.норм.распр.'!H4</f>
        <v>285.72246559789636</v>
      </c>
      <c r="O12" s="2">
        <f>$E12*$B$11+$B$10+'Станд.норм.распр.'!I5*$B$12+$B$2*'Станд.норм.распр.'!I4</f>
        <v>278.74997206966509</v>
      </c>
      <c r="P12" s="2">
        <f>$E12*$B$11+$B$10+'Станд.норм.распр.'!J5*$B$12+$B$2*'Станд.норм.распр.'!J4</f>
        <v>278.9695090840105</v>
      </c>
      <c r="Q12" s="2">
        <f>$E12*$B$11+$B$10+'Станд.норм.распр.'!K5*$B$12+$B$2*'Станд.норм.распр.'!K4</f>
        <v>280.03530886310909</v>
      </c>
    </row>
    <row r="13" spans="1:33" x14ac:dyDescent="0.35">
      <c r="C13" s="4" t="s">
        <v>12</v>
      </c>
      <c r="D13" s="4" t="s">
        <v>5</v>
      </c>
      <c r="E13" s="4">
        <v>888</v>
      </c>
      <c r="F13" s="4"/>
      <c r="G13" s="4" t="s">
        <v>5</v>
      </c>
      <c r="H13" s="2">
        <f>$E13*$B$11+$B$10+'Станд.норм.распр.'!B6*$B$12+$B$2*'Станд.норм.распр.'!B5</f>
        <v>887.19316906521271</v>
      </c>
      <c r="I13" s="2">
        <f>$E13*$B$11+$B$10+'Станд.норм.распр.'!C6*$B$12+$B$2*'Станд.норм.распр.'!C5</f>
        <v>896.35452761343913</v>
      </c>
      <c r="J13" s="2">
        <f>$E13*$B$11+$B$10+'Станд.норм.распр.'!D6*$B$12+$B$2*'Станд.норм.распр.'!D5</f>
        <v>890.10351641321904</v>
      </c>
      <c r="K13" s="2">
        <f>$E13*$B$11+$B$10+'Станд.норм.распр.'!E6*$B$12+$B$2*'Станд.норм.распр.'!E5</f>
        <v>889.50168785289861</v>
      </c>
      <c r="L13" s="2">
        <f>$E13*$B$11+$B$10+'Станд.норм.распр.'!F6*$B$12+$B$2*'Станд.норм.распр.'!F5</f>
        <v>891.03363777270715</v>
      </c>
      <c r="M13" s="2">
        <f>$E13*$B$11+$B$10+'Станд.норм.распр.'!G6*$B$12+$B$2*'Станд.норм.распр.'!G5</f>
        <v>890.86425211520691</v>
      </c>
      <c r="N13" s="2">
        <f>$E13*$B$11+$B$10+'Станд.норм.распр.'!H6*$B$12+$B$2*'Станд.норм.распр.'!H5</f>
        <v>896.99682580084777</v>
      </c>
      <c r="O13" s="2">
        <f>$E13*$B$11+$B$10+'Станд.норм.распр.'!I6*$B$12+$B$2*'Станд.норм.распр.'!I5</f>
        <v>890.7063595148793</v>
      </c>
      <c r="P13" s="2">
        <f>$E13*$B$11+$B$10+'Станд.норм.распр.'!J6*$B$12+$B$2*'Станд.норм.распр.'!J5</f>
        <v>890.00370437192032</v>
      </c>
      <c r="Q13" s="2">
        <f>$E13*$B$11+$B$10+'Станд.норм.распр.'!K6*$B$12+$B$2*'Станд.норм.распр.'!K5</f>
        <v>889.9922167717159</v>
      </c>
    </row>
    <row r="14" spans="1:33" x14ac:dyDescent="0.35">
      <c r="C14" s="4" t="s">
        <v>13</v>
      </c>
      <c r="D14" s="4" t="s">
        <v>5</v>
      </c>
      <c r="E14" s="4">
        <v>314</v>
      </c>
      <c r="F14" s="4"/>
      <c r="G14" s="4" t="s">
        <v>5</v>
      </c>
      <c r="H14" s="2">
        <f>$E14*$B$11+$B$10+'Станд.норм.распр.'!B7*$B$12+$B$2*'Станд.норм.распр.'!B6</f>
        <v>315.83343877829611</v>
      </c>
      <c r="I14" s="2">
        <f>$E14*$B$11+$B$10+'Станд.норм.распр.'!C7*$B$12+$B$2*'Станд.норм.распр.'!C6</f>
        <v>316.63651555137767</v>
      </c>
      <c r="J14" s="2">
        <f>$E14*$B$11+$B$10+'Станд.норм.распр.'!D7*$B$12+$B$2*'Станд.норм.распр.'!D6</f>
        <v>317.38358086587687</v>
      </c>
      <c r="K14" s="2">
        <f>$E14*$B$11+$B$10+'Станд.норм.распр.'!E7*$B$12+$B$2*'Станд.норм.распр.'!E6</f>
        <v>315.82830058797845</v>
      </c>
      <c r="L14" s="2">
        <f>$E14*$B$11+$B$10+'Станд.норм.распр.'!F7*$B$12+$B$2*'Станд.норм.распр.'!F6</f>
        <v>316.7027067567833</v>
      </c>
      <c r="M14" s="2">
        <f>$E14*$B$11+$B$10+'Станд.норм.распр.'!G7*$B$12+$B$2*'Станд.норм.распр.'!G6</f>
        <v>315.79392759996699</v>
      </c>
      <c r="N14" s="2">
        <f>$E14*$B$11+$B$10+'Станд.норм.распр.'!H7*$B$12+$B$2*'Станд.норм.распр.'!H6</f>
        <v>315.64951166475657</v>
      </c>
      <c r="O14" s="2">
        <f>$E14*$B$11+$B$10+'Станд.норм.распр.'!I7*$B$12+$B$2*'Станд.норм.распр.'!I6</f>
        <v>317.16178216558183</v>
      </c>
      <c r="P14" s="2">
        <f>$E14*$B$11+$B$10+'Станд.норм.распр.'!J7*$B$12+$B$2*'Станд.норм.распр.'!J6</f>
        <v>316.14120052280487</v>
      </c>
      <c r="Q14" s="2">
        <f>$E14*$B$11+$B$10+'Станд.норм.распр.'!K7*$B$12+$B$2*'Станд.норм.распр.'!K6</f>
        <v>320.61338731838623</v>
      </c>
    </row>
    <row r="15" spans="1:33" x14ac:dyDescent="0.35">
      <c r="C15" s="4" t="s">
        <v>14</v>
      </c>
      <c r="D15" s="4" t="s">
        <v>5</v>
      </c>
      <c r="E15" s="4">
        <v>780</v>
      </c>
      <c r="F15" s="4"/>
      <c r="G15" s="4" t="s">
        <v>5</v>
      </c>
      <c r="H15" s="2">
        <f>$E15*$B$11+$B$10+'Станд.норм.распр.'!B8*$B$12+$B$2*'Станд.норм.распр.'!B7</f>
        <v>779.51742552689393</v>
      </c>
      <c r="I15" s="2">
        <f>$E15*$B$11+$B$10+'Станд.норм.распр.'!C8*$B$12+$B$2*'Станд.норм.распр.'!C7</f>
        <v>776.547208871154</v>
      </c>
      <c r="J15" s="2">
        <f>$E15*$B$11+$B$10+'Станд.норм.распр.'!D8*$B$12+$B$2*'Станд.норм.распр.'!D7</f>
        <v>783.8291157175554</v>
      </c>
      <c r="K15" s="2">
        <f>$E15*$B$11+$B$10+'Станд.норм.распр.'!E8*$B$12+$B$2*'Станд.норм.распр.'!E7</f>
        <v>779.16559977969155</v>
      </c>
      <c r="L15" s="2">
        <f>$E15*$B$11+$B$10+'Станд.норм.распр.'!F8*$B$12+$B$2*'Станд.норм.распр.'!F7</f>
        <v>783.84958503268717</v>
      </c>
      <c r="M15" s="2">
        <f>$E15*$B$11+$B$10+'Станд.норм.распр.'!G8*$B$12+$B$2*'Станд.норм.распр.'!G7</f>
        <v>782.55533269005537</v>
      </c>
      <c r="N15" s="2">
        <f>$E15*$B$11+$B$10+'Станд.норм.распр.'!H8*$B$12+$B$2*'Станд.норм.распр.'!H7</f>
        <v>781.31847446532629</v>
      </c>
      <c r="O15" s="2">
        <f>$E15*$B$11+$B$10+'Станд.норм.распр.'!I8*$B$12+$B$2*'Станд.норм.распр.'!I7</f>
        <v>779.68251109344419</v>
      </c>
      <c r="P15" s="2">
        <f>$E15*$B$11+$B$10+'Станд.норм.распр.'!J8*$B$12+$B$2*'Станд.норм.распр.'!J7</f>
        <v>779.48513953313227</v>
      </c>
      <c r="Q15" s="2">
        <f>$E15*$B$11+$B$10+'Станд.норм.распр.'!K8*$B$12+$B$2*'Станд.норм.распр.'!K7</f>
        <v>785.05832554658991</v>
      </c>
    </row>
    <row r="16" spans="1:33" x14ac:dyDescent="0.35">
      <c r="C16" s="4" t="s">
        <v>15</v>
      </c>
      <c r="D16" s="4" t="s">
        <v>5</v>
      </c>
      <c r="E16" s="4">
        <v>993</v>
      </c>
      <c r="F16" s="4"/>
      <c r="G16" s="4" t="s">
        <v>5</v>
      </c>
      <c r="H16" s="2">
        <f>$E16*$B$11+$B$10+'Станд.норм.распр.'!B9*$B$12+$B$2*'Станд.норм.распр.'!B8</f>
        <v>998.72051908925641</v>
      </c>
      <c r="I16" s="2">
        <f>$E16*$B$11+$B$10+'Станд.норм.распр.'!C9*$B$12+$B$2*'Станд.норм.распр.'!C8</f>
        <v>991.88385378249222</v>
      </c>
      <c r="J16" s="2">
        <f>$E16*$B$11+$B$10+'Станд.норм.распр.'!D9*$B$12+$B$2*'Станд.норм.распр.'!D8</f>
        <v>997.82165251519473</v>
      </c>
      <c r="K16" s="2">
        <f>$E16*$B$11+$B$10+'Станд.норм.распр.'!E9*$B$12+$B$2*'Станд.норм.распр.'!E8</f>
        <v>998.22938149110996</v>
      </c>
      <c r="L16" s="2">
        <f>$E16*$B$11+$B$10+'Станд.норм.распр.'!F9*$B$12+$B$2*'Станд.норм.распр.'!F8</f>
        <v>995.87856574282341</v>
      </c>
      <c r="M16" s="2">
        <f>$E16*$B$11+$B$10+'Станд.норм.распр.'!G9*$B$12+$B$2*'Станд.норм.распр.'!G8</f>
        <v>994.82009921950521</v>
      </c>
      <c r="N16" s="2">
        <f>$E16*$B$11+$B$10+'Станд.норм.распр.'!H9*$B$12+$B$2*'Станд.норм.распр.'!H8</f>
        <v>996.68649080478644</v>
      </c>
      <c r="O16" s="2">
        <f>$E16*$B$11+$B$10+'Станд.норм.распр.'!I9*$B$12+$B$2*'Станд.норм.распр.'!I8</f>
        <v>996.68822339219332</v>
      </c>
      <c r="P16" s="2">
        <f>$E16*$B$11+$B$10+'Станд.норм.распр.'!J9*$B$12+$B$2*'Станд.норм.распр.'!J8</f>
        <v>997.06203230845858</v>
      </c>
      <c r="Q16" s="2">
        <f>$E16*$B$11+$B$10+'Станд.норм.распр.'!K9*$B$12+$B$2*'Станд.норм.распр.'!K8</f>
        <v>995.77555932875839</v>
      </c>
    </row>
    <row r="17" spans="3:17" x14ac:dyDescent="0.35">
      <c r="C17" s="4" t="s">
        <v>16</v>
      </c>
      <c r="D17" s="4" t="s">
        <v>5</v>
      </c>
      <c r="E17" s="4">
        <v>326</v>
      </c>
      <c r="F17" s="4"/>
      <c r="G17" s="4" t="s">
        <v>5</v>
      </c>
      <c r="H17" s="2">
        <f>$E17*$B$11+$B$10+'Станд.норм.распр.'!B10*$B$12+$B$2*'Станд.норм.распр.'!B9</f>
        <v>329.2577345387399</v>
      </c>
      <c r="I17" s="2">
        <f>$E17*$B$11+$B$10+'Станд.норм.распр.'!C10*$B$12+$B$2*'Станд.норм.распр.'!C9</f>
        <v>321.32903644244652</v>
      </c>
      <c r="J17" s="2">
        <f>$E17*$B$11+$B$10+'Станд.норм.распр.'!D10*$B$12+$B$2*'Станд.норм.распр.'!D9</f>
        <v>325.99885335960425</v>
      </c>
      <c r="K17" s="2">
        <f>$E17*$B$11+$B$10+'Станд.норм.распр.'!E10*$B$12+$B$2*'Станд.норм.распр.'!E9</f>
        <v>329.564837702972</v>
      </c>
      <c r="L17" s="2">
        <f>$E17*$B$11+$B$10+'Станд.норм.распр.'!F10*$B$12+$B$2*'Станд.норм.распр.'!F9</f>
        <v>328.12409986993589</v>
      </c>
      <c r="M17" s="2">
        <f>$E17*$B$11+$B$10+'Станд.норм.распр.'!G10*$B$12+$B$2*'Станд.норм.распр.'!G9</f>
        <v>333.40332916898478</v>
      </c>
      <c r="N17" s="2">
        <f>$E17*$B$11+$B$10+'Станд.норм.распр.'!H10*$B$12+$B$2*'Станд.норм.распр.'!H9</f>
        <v>332.27113582190941</v>
      </c>
      <c r="O17" s="2">
        <f>$E17*$B$11+$B$10+'Станд.норм.распр.'!I10*$B$12+$B$2*'Станд.норм.распр.'!I9</f>
        <v>328.99653789220611</v>
      </c>
      <c r="P17" s="2">
        <f>$E17*$B$11+$B$10+'Станд.норм.распр.'!J10*$B$12+$B$2*'Станд.норм.распр.'!J9</f>
        <v>330.64087667953572</v>
      </c>
      <c r="Q17" s="2">
        <f>$E17*$B$11+$B$10+'Станд.норм.распр.'!K10*$B$12+$B$2*'Станд.норм.распр.'!K9</f>
        <v>324.66042549506528</v>
      </c>
    </row>
    <row r="18" spans="3:17" x14ac:dyDescent="0.35">
      <c r="C18" s="4" t="s">
        <v>17</v>
      </c>
      <c r="D18" s="4" t="s">
        <v>5</v>
      </c>
      <c r="E18" s="4">
        <v>906</v>
      </c>
      <c r="F18" s="4"/>
      <c r="G18" s="4" t="s">
        <v>5</v>
      </c>
      <c r="H18" s="2">
        <f>$E18*$B$11+$B$10+'Станд.норм.распр.'!B11*$B$12+$B$2*'Станд.норм.распр.'!B10</f>
        <v>910.15352679333591</v>
      </c>
      <c r="I18" s="2">
        <f>$E18*$B$11+$B$10+'Станд.норм.распр.'!C11*$B$12+$B$2*'Станд.норм.распр.'!C10</f>
        <v>906.74143668421311</v>
      </c>
      <c r="J18" s="2">
        <f>$E18*$B$11+$B$10+'Станд.норм.распр.'!D11*$B$12+$B$2*'Станд.норм.распр.'!D10</f>
        <v>905.83606222081289</v>
      </c>
      <c r="K18" s="2">
        <f>$E18*$B$11+$B$10+'Станд.норм.распр.'!E11*$B$12+$B$2*'Станд.норм.распр.'!E10</f>
        <v>908.22102017283032</v>
      </c>
      <c r="L18" s="2">
        <f>$E18*$B$11+$B$10+'Станд.норм.распр.'!F11*$B$12+$B$2*'Станд.норм.распр.'!F10</f>
        <v>907.26787563708785</v>
      </c>
      <c r="M18" s="2">
        <f>$E18*$B$11+$B$10+'Станд.норм.распр.'!G11*$B$12+$B$2*'Станд.норм.распр.'!G10</f>
        <v>911.56877671947586</v>
      </c>
      <c r="N18" s="2">
        <f>$E18*$B$11+$B$10+'Станд.норм.распр.'!H11*$B$12+$B$2*'Станд.норм.распр.'!H10</f>
        <v>912.25247571911314</v>
      </c>
      <c r="O18" s="2">
        <f>$E18*$B$11+$B$10+'Станд.норм.распр.'!I11*$B$12+$B$2*'Станд.норм.распр.'!I10</f>
        <v>910.45092064687924</v>
      </c>
      <c r="P18" s="2">
        <f>$E18*$B$11+$B$10+'Станд.норм.распр.'!J11*$B$12+$B$2*'Станд.норм.распр.'!J10</f>
        <v>911.56343632524363</v>
      </c>
      <c r="Q18" s="2">
        <f>$E18*$B$11+$B$10+'Станд.норм.распр.'!K11*$B$12+$B$2*'Станд.норм.распр.'!K10</f>
        <v>908.80303425420425</v>
      </c>
    </row>
    <row r="19" spans="3:17" x14ac:dyDescent="0.35">
      <c r="C19" s="4" t="s">
        <v>18</v>
      </c>
      <c r="D19" s="4" t="s">
        <v>5</v>
      </c>
      <c r="E19" s="4">
        <v>790</v>
      </c>
      <c r="F19" s="4"/>
      <c r="G19" s="4" t="s">
        <v>5</v>
      </c>
      <c r="H19" s="2">
        <f>$E19*$B$11+$B$10+'Станд.норм.распр.'!B12*$B$12+$B$2*'Станд.норм.распр.'!B11</f>
        <v>792.93567678050022</v>
      </c>
      <c r="I19" s="2">
        <f>$E19*$B$11+$B$10+'Станд.норм.распр.'!C12*$B$12+$B$2*'Станд.норм.распр.'!C11</f>
        <v>785.50878988479963</v>
      </c>
      <c r="J19" s="2">
        <f>$E19*$B$11+$B$10+'Станд.норм.распр.'!D12*$B$12+$B$2*'Станд.норм.распр.'!D11</f>
        <v>793.39641974783444</v>
      </c>
      <c r="K19" s="2">
        <f>$E19*$B$11+$B$10+'Станд.норм.распр.'!E12*$B$12+$B$2*'Станд.норм.распр.'!E11</f>
        <v>796.51379264632124</v>
      </c>
      <c r="L19" s="2">
        <f>$E19*$B$11+$B$10+'Станд.норм.распр.'!F12*$B$12+$B$2*'Станд.норм.распр.'!F11</f>
        <v>793.66597624229325</v>
      </c>
      <c r="M19" s="2">
        <f>$E19*$B$11+$B$10+'Станд.норм.распр.'!G12*$B$12+$B$2*'Станд.норм.распр.'!G11</f>
        <v>794.99679732052027</v>
      </c>
      <c r="N19" s="2">
        <f>$E19*$B$11+$B$10+'Станд.норм.распр.'!H12*$B$12+$B$2*'Станд.норм.распр.'!H11</f>
        <v>800.03007515060017</v>
      </c>
      <c r="O19" s="2">
        <f>$E19*$B$11+$B$10+'Станд.норм.распр.'!I12*$B$12+$B$2*'Станд.норм.распр.'!I11</f>
        <v>795.74375895262347</v>
      </c>
      <c r="P19" s="2">
        <f>$E19*$B$11+$B$10+'Станд.норм.распр.'!J12*$B$12+$B$2*'Станд.норм.распр.'!J11</f>
        <v>792.5125266397954</v>
      </c>
      <c r="Q19" s="2">
        <f>$E19*$B$11+$B$10+'Станд.норм.распр.'!K12*$B$12+$B$2*'Станд.норм.распр.'!K11</f>
        <v>791.18752610028605</v>
      </c>
    </row>
    <row r="20" spans="3:17" x14ac:dyDescent="0.35">
      <c r="C20" s="4" t="s">
        <v>19</v>
      </c>
      <c r="D20" s="4" t="s">
        <v>5</v>
      </c>
      <c r="E20" s="4">
        <v>127</v>
      </c>
      <c r="F20" s="4"/>
      <c r="G20" s="4" t="s">
        <v>5</v>
      </c>
      <c r="H20" s="2">
        <f>$E20*$B$11+$B$10+'Станд.норм.распр.'!B13*$B$12+$B$2*'Станд.норм.распр.'!B12</f>
        <v>128.34654852040694</v>
      </c>
      <c r="I20" s="2">
        <f>$E20*$B$11+$B$10+'Станд.норм.распр.'!C13*$B$12+$B$2*'Станд.норм.распр.'!C12</f>
        <v>125.73171805625316</v>
      </c>
      <c r="J20" s="2">
        <f>$E20*$B$11+$B$10+'Станд.норм.распр.'!D13*$B$12+$B$2*'Станд.норм.распр.'!D12</f>
        <v>128.90766127666575</v>
      </c>
      <c r="K20" s="2">
        <f>$E20*$B$11+$B$10+'Станд.норм.распр.'!E13*$B$12+$B$2*'Станд.норм.распр.'!E12</f>
        <v>127.54996985959588</v>
      </c>
      <c r="L20" s="2">
        <f>$E20*$B$11+$B$10+'Станд.норм.распр.'!F13*$B$12+$B$2*'Станд.норм.распр.'!F12</f>
        <v>130.77033280124306</v>
      </c>
      <c r="M20" s="2">
        <f>$E20*$B$11+$B$10+'Станд.норм.распр.'!G13*$B$12+$B$2*'Станд.норм.распр.'!G12</f>
        <v>126.62834067951189</v>
      </c>
      <c r="N20" s="2">
        <f>$E20*$B$11+$B$10+'Станд.норм.распр.'!H13*$B$12+$B$2*'Станд.норм.распр.'!H12</f>
        <v>130.15269040179555</v>
      </c>
      <c r="O20" s="2">
        <f>$E20*$B$11+$B$10+'Станд.норм.распр.'!I13*$B$12+$B$2*'Станд.норм.распр.'!I12</f>
        <v>136.55281507736072</v>
      </c>
      <c r="P20" s="2">
        <f>$E20*$B$11+$B$10+'Станд.норм.распр.'!J13*$B$12+$B$2*'Станд.норм.распр.'!J12</f>
        <v>127.7887276802212</v>
      </c>
      <c r="Q20" s="2">
        <f>$E20*$B$11+$B$10+'Станд.норм.распр.'!K13*$B$12+$B$2*'Станд.норм.распр.'!K12</f>
        <v>128.56517058308236</v>
      </c>
    </row>
    <row r="21" spans="3:17" x14ac:dyDescent="0.35">
      <c r="C21" s="4" t="s">
        <v>20</v>
      </c>
      <c r="D21" s="4" t="s">
        <v>5</v>
      </c>
      <c r="E21" s="4">
        <v>685</v>
      </c>
      <c r="F21" s="4"/>
      <c r="G21" s="4" t="s">
        <v>5</v>
      </c>
      <c r="H21" s="2">
        <f>$E21*$B$11+$B$10+'Станд.норм.распр.'!B14*$B$12+$B$2*'Станд.норм.распр.'!B13</f>
        <v>686.04427704677801</v>
      </c>
      <c r="I21" s="2">
        <f>$E21*$B$11+$B$10+'Станд.норм.распр.'!C14*$B$12+$B$2*'Станд.норм.распр.'!C13</f>
        <v>684.7881898303167</v>
      </c>
      <c r="J21" s="2">
        <f>$E21*$B$11+$B$10+'Станд.норм.распр.'!D14*$B$12+$B$2*'Станд.норм.распр.'!D13</f>
        <v>686.99748297341284</v>
      </c>
      <c r="K21" s="2">
        <f>$E21*$B$11+$B$10+'Станд.норм.распр.'!E14*$B$12+$B$2*'Станд.норм.распр.'!E13</f>
        <v>687.69460338636418</v>
      </c>
      <c r="L21" s="2">
        <f>$E21*$B$11+$B$10+'Станд.норм.распр.'!F14*$B$12+$B$2*'Станд.норм.распр.'!F13</f>
        <v>688.64504899657913</v>
      </c>
      <c r="M21" s="2">
        <f>$E21*$B$11+$B$10+'Станд.норм.распр.'!G14*$B$12+$B$2*'Станд.норм.распр.'!G13</f>
        <v>683.70760962544591</v>
      </c>
      <c r="N21" s="2">
        <f>$E21*$B$11+$B$10+'Станд.норм.распр.'!H14*$B$12+$B$2*'Станд.норм.распр.'!H13</f>
        <v>688.41132773023855</v>
      </c>
      <c r="O21" s="2">
        <f>$E21*$B$11+$B$10+'Станд.норм.распр.'!I14*$B$12+$B$2*'Станд.норм.распр.'!I13</f>
        <v>685.37954374015681</v>
      </c>
      <c r="P21" s="2">
        <f>$E21*$B$11+$B$10+'Станд.норм.распр.'!J14*$B$12+$B$2*'Станд.норм.распр.'!J13</f>
        <v>684.2027671901742</v>
      </c>
      <c r="Q21" s="2">
        <f>$E21*$B$11+$B$10+'Станд.норм.распр.'!K14*$B$12+$B$2*'Станд.норм.распр.'!K13</f>
        <v>686.88506442605285</v>
      </c>
    </row>
    <row r="22" spans="3:17" x14ac:dyDescent="0.35">
      <c r="C22" s="4" t="s">
        <v>21</v>
      </c>
      <c r="D22" s="4" t="s">
        <v>5</v>
      </c>
      <c r="E22" s="4">
        <v>320</v>
      </c>
      <c r="F22" s="4"/>
      <c r="G22" s="4" t="s">
        <v>5</v>
      </c>
      <c r="H22" s="2">
        <f>$E22*$B$11+$B$10+'Станд.норм.распр.'!B15*$B$12+$B$2*'Станд.норм.распр.'!B14</f>
        <v>322.37921608964098</v>
      </c>
      <c r="I22" s="2">
        <f>$E22*$B$11+$B$10+'Станд.норм.распр.'!C15*$B$12+$B$2*'Станд.норм.распр.'!C14</f>
        <v>327.71890905121109</v>
      </c>
      <c r="J22" s="2">
        <f>$E22*$B$11+$B$10+'Станд.норм.распр.'!D15*$B$12+$B$2*'Станд.норм.распр.'!D14</f>
        <v>323.73530270330957</v>
      </c>
      <c r="K22" s="2">
        <f>$E22*$B$11+$B$10+'Станд.норм.распр.'!E15*$B$12+$B$2*'Станд.норм.распр.'!E14</f>
        <v>322.69450584305741</v>
      </c>
      <c r="L22" s="2">
        <f>$E22*$B$11+$B$10+'Станд.норм.распр.'!F15*$B$12+$B$2*'Станд.норм.распр.'!F14</f>
        <v>317.00301873922581</v>
      </c>
      <c r="M22" s="2">
        <f>$E22*$B$11+$B$10+'Станд.норм.распр.'!G15*$B$12+$B$2*'Станд.норм.распр.'!G14</f>
        <v>325.88693160857656</v>
      </c>
      <c r="N22" s="2">
        <f>$E22*$B$11+$B$10+'Станд.норм.распр.'!H15*$B$12+$B$2*'Станд.норм.распр.'!H14</f>
        <v>320.96628936160414</v>
      </c>
      <c r="O22" s="2">
        <f>$E22*$B$11+$B$10+'Станд.норм.распр.'!I15*$B$12+$B$2*'Станд.норм.распр.'!I14</f>
        <v>327.27498605151777</v>
      </c>
      <c r="P22" s="2">
        <f>$E22*$B$11+$B$10+'Станд.норм.распр.'!J15*$B$12+$B$2*'Станд.норм.распр.'!J14</f>
        <v>321.2640123309684</v>
      </c>
      <c r="Q22" s="2">
        <f>$E22*$B$11+$B$10+'Станд.норм.распр.'!K15*$B$12+$B$2*'Станд.норм.распр.'!K14</f>
        <v>321.01860337558901</v>
      </c>
    </row>
    <row r="23" spans="3:17" x14ac:dyDescent="0.35">
      <c r="C23" s="4" t="s">
        <v>22</v>
      </c>
      <c r="D23" s="4" t="s">
        <v>5</v>
      </c>
      <c r="E23" s="4">
        <v>658</v>
      </c>
      <c r="F23" s="4"/>
      <c r="G23" s="4" t="s">
        <v>5</v>
      </c>
      <c r="H23" s="2">
        <f>$E23*$B$11+$B$10+'Станд.норм.распр.'!B16*$B$12+$B$2*'Станд.норм.распр.'!B15</f>
        <v>660.04871208147961</v>
      </c>
      <c r="I23" s="2">
        <f>$E23*$B$11+$B$10+'Станд.норм.распр.'!C16*$B$12+$B$2*'Станд.норм.распр.'!C15</f>
        <v>661.41539226206078</v>
      </c>
      <c r="J23" s="2">
        <f>$E23*$B$11+$B$10+'Станд.норм.распр.'!D16*$B$12+$B$2*'Станд.норм.распр.'!D15</f>
        <v>660.07742801244603</v>
      </c>
      <c r="K23" s="2">
        <f>$E23*$B$11+$B$10+'Станд.норм.распр.'!E16*$B$12+$B$2*'Станд.норм.распр.'!E15</f>
        <v>656.32217463840789</v>
      </c>
      <c r="L23" s="2">
        <f>$E23*$B$11+$B$10+'Станд.норм.распр.'!F16*$B$12+$B$2*'Станд.норм.распр.'!F15</f>
        <v>664.9978079914581</v>
      </c>
      <c r="M23" s="2">
        <f>$E23*$B$11+$B$10+'Станд.норм.распр.'!G16*$B$12+$B$2*'Станд.норм.распр.'!G15</f>
        <v>662.13589692066307</v>
      </c>
      <c r="N23" s="2">
        <f>$E23*$B$11+$B$10+'Станд.норм.распр.'!H16*$B$12+$B$2*'Станд.норм.распр.'!H15</f>
        <v>660.12032689988268</v>
      </c>
      <c r="O23" s="2">
        <f>$E23*$B$11+$B$10+'Станд.норм.распр.'!I16*$B$12+$B$2*'Станд.норм.распр.'!I15</f>
        <v>658.86601312937273</v>
      </c>
      <c r="P23" s="2">
        <f>$E23*$B$11+$B$10+'Станд.норм.распр.'!J16*$B$12+$B$2*'Станд.норм.распр.'!J15</f>
        <v>658.58993305679178</v>
      </c>
      <c r="Q23" s="2">
        <f>$E23*$B$11+$B$10+'Станд.норм.распр.'!K16*$B$12+$B$2*'Станд.норм.распр.'!K15</f>
        <v>663.51407561538508</v>
      </c>
    </row>
    <row r="24" spans="3:17" x14ac:dyDescent="0.35">
      <c r="C24" s="4" t="s">
        <v>23</v>
      </c>
      <c r="D24" s="4" t="s">
        <v>5</v>
      </c>
      <c r="E24" s="4">
        <v>436</v>
      </c>
      <c r="F24" s="4"/>
      <c r="G24" s="4" t="s">
        <v>5</v>
      </c>
      <c r="H24" s="2">
        <f>$E24*$B$11+$B$10+'Станд.норм.распр.'!B17*$B$12+$B$2*'Станд.норм.распр.'!B16</f>
        <v>437.3688541053416</v>
      </c>
      <c r="I24" s="2">
        <f>$E24*$B$11+$B$10+'Станд.норм.распр.'!C17*$B$12+$B$2*'Станд.норм.распр.'!C16</f>
        <v>438.31958848012437</v>
      </c>
      <c r="J24" s="2">
        <f>$E24*$B$11+$B$10+'Станд.норм.распр.'!D17*$B$12+$B$2*'Станд.норм.распр.'!D16</f>
        <v>437.32483001430228</v>
      </c>
      <c r="K24" s="2">
        <f>$E24*$B$11+$B$10+'Станд.норм.распр.'!E17*$B$12+$B$2*'Станд.норм.распр.'!E16</f>
        <v>439.10163045974332</v>
      </c>
      <c r="L24" s="2">
        <f>$E24*$B$11+$B$10+'Станд.норм.распр.'!F17*$B$12+$B$2*'Станд.норм.распр.'!F16</f>
        <v>435.31176285422407</v>
      </c>
      <c r="M24" s="2">
        <f>$E24*$B$11+$B$10+'Станд.норм.распр.'!G17*$B$12+$B$2*'Станд.норм.распр.'!G16</f>
        <v>438.18489822650736</v>
      </c>
      <c r="N24" s="2">
        <f>$E24*$B$11+$B$10+'Станд.норм.распр.'!H17*$B$12+$B$2*'Станд.норм.распр.'!H16</f>
        <v>438.26403881747683</v>
      </c>
      <c r="O24" s="2">
        <f>$E24*$B$11+$B$10+'Станд.норм.распр.'!I17*$B$12+$B$2*'Станд.норм.распр.'!I16</f>
        <v>437.65092797538091</v>
      </c>
      <c r="P24" s="2">
        <f>$E24*$B$11+$B$10+'Станд.норм.распр.'!J17*$B$12+$B$2*'Станд.норм.распр.'!J16</f>
        <v>437.42245085549075</v>
      </c>
      <c r="Q24" s="2">
        <f>$E24*$B$11+$B$10+'Станд.норм.распр.'!K17*$B$12+$B$2*'Станд.норм.распр.'!K16</f>
        <v>437.83867452706909</v>
      </c>
    </row>
    <row r="25" spans="3:17" x14ac:dyDescent="0.35">
      <c r="C25" s="4" t="s">
        <v>24</v>
      </c>
      <c r="D25" s="4" t="s">
        <v>5</v>
      </c>
      <c r="E25" s="4">
        <v>686</v>
      </c>
      <c r="F25" s="4"/>
      <c r="G25" s="4" t="s">
        <v>5</v>
      </c>
      <c r="H25" s="2">
        <f>$E25*$B$11+$B$10+'Станд.норм.распр.'!B18*$B$12+$B$2*'Станд.норм.распр.'!B17</f>
        <v>687.26236728242657</v>
      </c>
      <c r="I25" s="2">
        <f>$E25*$B$11+$B$10+'Станд.норм.распр.'!C18*$B$12+$B$2*'Станд.норм.распр.'!C17</f>
        <v>688.61263017414603</v>
      </c>
      <c r="J25" s="2">
        <f>$E25*$B$11+$B$10+'Станд.норм.распр.'!D18*$B$12+$B$2*'Станд.норм.распр.'!D17</f>
        <v>690.91593210022256</v>
      </c>
      <c r="K25" s="2">
        <f>$E25*$B$11+$B$10+'Станд.норм.распр.'!E18*$B$12+$B$2*'Станд.норм.распр.'!E17</f>
        <v>688.49847608352138</v>
      </c>
      <c r="L25" s="2">
        <f>$E25*$B$11+$B$10+'Станд.норм.распр.'!F18*$B$12+$B$2*'Станд.норм.распр.'!F17</f>
        <v>689.49786819747533</v>
      </c>
      <c r="M25" s="2">
        <f>$E25*$B$11+$B$10+'Станд.норм.распр.'!G18*$B$12+$B$2*'Станд.норм.распр.'!G17</f>
        <v>686.17388220435532</v>
      </c>
      <c r="N25" s="2">
        <f>$E25*$B$11+$B$10+'Станд.норм.распр.'!H18*$B$12+$B$2*'Станд.норм.распр.'!H17</f>
        <v>684.58973559537844</v>
      </c>
      <c r="O25" s="2">
        <f>$E25*$B$11+$B$10+'Станд.норм.распр.'!I18*$B$12+$B$2*'Станд.норм.распр.'!I17</f>
        <v>689.65220944836619</v>
      </c>
      <c r="P25" s="2">
        <f>$E25*$B$11+$B$10+'Станд.норм.распр.'!J18*$B$12+$B$2*'Станд.норм.распр.'!J17</f>
        <v>684.49696064807358</v>
      </c>
      <c r="Q25" s="2">
        <f>$E25*$B$11+$B$10+'Станд.норм.распр.'!K18*$B$12+$B$2*'Станд.норм.распр.'!K17</f>
        <v>687.59585889074367</v>
      </c>
    </row>
    <row r="26" spans="3:17" x14ac:dyDescent="0.35">
      <c r="C26" s="4" t="s">
        <v>25</v>
      </c>
      <c r="D26" s="4" t="s">
        <v>5</v>
      </c>
      <c r="E26" s="4">
        <v>797</v>
      </c>
      <c r="F26" s="4"/>
      <c r="G26" s="4" t="s">
        <v>5</v>
      </c>
      <c r="H26" s="2">
        <f>$E26*$B$11+$B$10+'Станд.норм.распр.'!B19*$B$12+$B$2*'Станд.норм.распр.'!B18</f>
        <v>801.58116551776766</v>
      </c>
      <c r="I26" s="2">
        <f>$E26*$B$11+$B$10+'Станд.норм.распр.'!C19*$B$12+$B$2*'Станд.норм.распр.'!C18</f>
        <v>799.64801361077116</v>
      </c>
      <c r="J26" s="2">
        <f>$E26*$B$11+$B$10+'Станд.норм.распр.'!D19*$B$12+$B$2*'Станд.норм.распр.'!D18</f>
        <v>801.6058860385092</v>
      </c>
      <c r="K26" s="2">
        <f>$E26*$B$11+$B$10+'Станд.норм.распр.'!E19*$B$12+$B$2*'Станд.норм.распр.'!E18</f>
        <v>800.81089785655786</v>
      </c>
      <c r="L26" s="2">
        <f>$E26*$B$11+$B$10+'Станд.норм.распр.'!F19*$B$12+$B$2*'Станд.норм.распр.'!F18</f>
        <v>793.53268457425293</v>
      </c>
      <c r="M26" s="2">
        <f>$E26*$B$11+$B$10+'Станд.норм.распр.'!G19*$B$12+$B$2*'Станд.норм.распр.'!G18</f>
        <v>802.13684950015158</v>
      </c>
      <c r="N26" s="2">
        <f>$E26*$B$11+$B$10+'Станд.норм.распр.'!H19*$B$12+$B$2*'Станд.норм.распр.'!H18</f>
        <v>796.96026096090213</v>
      </c>
      <c r="O26" s="2">
        <f>$E26*$B$11+$B$10+'Станд.норм.распр.'!I19*$B$12+$B$2*'Станд.норм.распр.'!I18</f>
        <v>798.72937712300336</v>
      </c>
      <c r="P26" s="2">
        <f>$E26*$B$11+$B$10+'Станд.норм.распр.'!J19*$B$12+$B$2*'Станд.норм.распр.'!J18</f>
        <v>796.10827023591264</v>
      </c>
      <c r="Q26" s="2">
        <f>$E26*$B$11+$B$10+'Станд.норм.распр.'!K19*$B$12+$B$2*'Станд.норм.распр.'!K18</f>
        <v>800.23193603940308</v>
      </c>
    </row>
    <row r="27" spans="3:17" x14ac:dyDescent="0.35">
      <c r="C27" s="4" t="s">
        <v>26</v>
      </c>
      <c r="D27" s="4" t="s">
        <v>5</v>
      </c>
      <c r="E27" s="4">
        <v>464</v>
      </c>
      <c r="F27" s="4"/>
      <c r="G27" s="4" t="s">
        <v>5</v>
      </c>
      <c r="H27" s="2">
        <f>$E27*$B$11+$B$10+'Станд.норм.распр.'!B20*$B$12+$B$2*'Станд.норм.распр.'!B19</f>
        <v>464.09085238666739</v>
      </c>
      <c r="I27" s="2">
        <f>$E27*$B$11+$B$10+'Станд.норм.распр.'!C20*$B$12+$B$2*'Станд.норм.распр.'!C19</f>
        <v>466.42173542169621</v>
      </c>
      <c r="J27" s="2">
        <f>$E27*$B$11+$B$10+'Станд.норм.распр.'!D20*$B$12+$B$2*'Станд.норм.распр.'!D19</f>
        <v>465.89457705851237</v>
      </c>
      <c r="K27" s="2">
        <f>$E27*$B$11+$B$10+'Станд.норм.распр.'!E20*$B$12+$B$2*'Станд.норм.распр.'!E19</f>
        <v>467.15671377898252</v>
      </c>
      <c r="L27" s="2">
        <f>$E27*$B$11+$B$10+'Станд.норм.распр.'!F20*$B$12+$B$2*'Станд.норм.распр.'!F19</f>
        <v>461.03455016969821</v>
      </c>
      <c r="M27" s="2">
        <f>$E27*$B$11+$B$10+'Станд.норм.распр.'!G20*$B$12+$B$2*'Станд.норм.распр.'!G19</f>
        <v>466.33283595257672</v>
      </c>
      <c r="N27" s="2">
        <f>$E27*$B$11+$B$10+'Станд.норм.распр.'!H20*$B$12+$B$2*'Станд.норм.распр.'!H19</f>
        <v>471.77517523702699</v>
      </c>
      <c r="O27" s="2">
        <f>$E27*$B$11+$B$10+'Станд.норм.распр.'!I20*$B$12+$B$2*'Станд.норм.распр.'!I19</f>
        <v>465.63127083901782</v>
      </c>
      <c r="P27" s="2">
        <f>$E27*$B$11+$B$10+'Станд.норм.распр.'!J20*$B$12+$B$2*'Станд.норм.распр.'!J19</f>
        <v>465.89735238159483</v>
      </c>
      <c r="Q27" s="2">
        <f>$E27*$B$11+$B$10+'Станд.норм.распр.'!K20*$B$12+$B$2*'Станд.норм.распр.'!K19</f>
        <v>464.01872627358534</v>
      </c>
    </row>
    <row r="28" spans="3:17" x14ac:dyDescent="0.35">
      <c r="C28" s="4" t="s">
        <v>27</v>
      </c>
      <c r="D28" s="4" t="s">
        <v>5</v>
      </c>
      <c r="E28" s="4">
        <v>514</v>
      </c>
      <c r="F28" s="4"/>
      <c r="G28" s="4" t="s">
        <v>5</v>
      </c>
      <c r="H28" s="2">
        <f>$E28*$B$11+$B$10+'Станд.норм.распр.'!B21*$B$12+$B$2*'Станд.норм.распр.'!B20</f>
        <v>513.61988237878541</v>
      </c>
      <c r="I28" s="2">
        <f>$E28*$B$11+$B$10+'Станд.норм.распр.'!C21*$B$12+$B$2*'Станд.норм.распр.'!C20</f>
        <v>511.09674671571702</v>
      </c>
      <c r="J28" s="2">
        <f>$E28*$B$11+$B$10+'Станд.норм.распр.'!D21*$B$12+$B$2*'Станд.норм.распр.'!D20</f>
        <v>517.44050568451348</v>
      </c>
      <c r="K28" s="2">
        <f>$E28*$B$11+$B$10+'Станд.норм.распр.'!E21*$B$12+$B$2*'Станд.норм.распр.'!E20</f>
        <v>516.62952881307865</v>
      </c>
      <c r="L28" s="2">
        <f>$E28*$B$11+$B$10+'Станд.норм.распр.'!F21*$B$12+$B$2*'Станд.норм.распр.'!F20</f>
        <v>517.08470658233273</v>
      </c>
      <c r="M28" s="2">
        <f>$E28*$B$11+$B$10+'Станд.норм.распр.'!G21*$B$12+$B$2*'Станд.норм.распр.'!G20</f>
        <v>516.70246596806101</v>
      </c>
      <c r="N28" s="2">
        <f>$E28*$B$11+$B$10+'Станд.норм.распр.'!H21*$B$12+$B$2*'Станд.норм.распр.'!H20</f>
        <v>515.84417025491712</v>
      </c>
      <c r="O28" s="2">
        <f>$E28*$B$11+$B$10+'Станд.норм.распр.'!I21*$B$12+$B$2*'Станд.норм.распр.'!I20</f>
        <v>515.07161668488698</v>
      </c>
      <c r="P28" s="2">
        <f>$E28*$B$11+$B$10+'Станд.норм.распр.'!J21*$B$12+$B$2*'Станд.норм.распр.'!J20</f>
        <v>518.60133106166904</v>
      </c>
      <c r="Q28" s="2">
        <f>$E28*$B$11+$B$10+'Станд.норм.распр.'!K21*$B$12+$B$2*'Станд.норм.распр.'!K20</f>
        <v>520.62118623545393</v>
      </c>
    </row>
    <row r="29" spans="3:17" x14ac:dyDescent="0.35">
      <c r="C29" s="4" t="s">
        <v>28</v>
      </c>
      <c r="D29" s="4" t="s">
        <v>5</v>
      </c>
      <c r="E29" s="4">
        <v>724</v>
      </c>
      <c r="F29" s="4"/>
      <c r="G29" s="4" t="s">
        <v>5</v>
      </c>
      <c r="H29" s="2">
        <f>$E29*$B$11+$B$10+'Станд.норм.распр.'!B22*$B$12+$B$2*'Станд.норм.распр.'!B21</f>
        <v>724.45045385882258</v>
      </c>
      <c r="I29" s="2">
        <f>$E29*$B$11+$B$10+'Станд.норм.распр.'!C22*$B$12+$B$2*'Станд.норм.распр.'!C21</f>
        <v>728.34848130276077</v>
      </c>
      <c r="J29" s="2">
        <f>$E29*$B$11+$B$10+'Станд.норм.распр.'!D22*$B$12+$B$2*'Станд.норм.распр.'!D21</f>
        <v>724.28967020221171</v>
      </c>
      <c r="K29" s="2">
        <f>$E29*$B$11+$B$10+'Станд.норм.распр.'!E22*$B$12+$B$2*'Станд.норм.распр.'!E21</f>
        <v>725.53762062432361</v>
      </c>
      <c r="L29" s="2">
        <f>$E29*$B$11+$B$10+'Станд.норм.распр.'!F22*$B$12+$B$2*'Станд.норм.распр.'!F21</f>
        <v>720.91806567372987</v>
      </c>
      <c r="M29" s="2">
        <f>$E29*$B$11+$B$10+'Станд.норм.распр.'!G22*$B$12+$B$2*'Станд.норм.распр.'!G21</f>
        <v>728.63400488620391</v>
      </c>
      <c r="N29" s="2">
        <f>$E29*$B$11+$B$10+'Станд.норм.распр.'!H22*$B$12+$B$2*'Станд.норм.распр.'!H21</f>
        <v>725.44970529718853</v>
      </c>
      <c r="O29" s="2">
        <f>$E29*$B$11+$B$10+'Станд.норм.распр.'!I22*$B$12+$B$2*'Станд.норм.распр.'!I21</f>
        <v>725.67456801641674</v>
      </c>
      <c r="P29" s="2">
        <f>$E29*$B$11+$B$10+'Станд.норм.распр.'!J22*$B$12+$B$2*'Станд.норм.распр.'!J21</f>
        <v>723.72413912069169</v>
      </c>
      <c r="Q29" s="2">
        <f>$E29*$B$11+$B$10+'Станд.норм.распр.'!K22*$B$12+$B$2*'Станд.норм.распр.'!K21</f>
        <v>728.59835860560997</v>
      </c>
    </row>
    <row r="30" spans="3:17" x14ac:dyDescent="0.35">
      <c r="C30" s="4" t="s">
        <v>29</v>
      </c>
      <c r="D30" s="4" t="s">
        <v>5</v>
      </c>
      <c r="E30" s="4">
        <v>63</v>
      </c>
      <c r="F30" s="4"/>
      <c r="G30" s="4" t="s">
        <v>5</v>
      </c>
      <c r="H30" s="2">
        <f>$E30*$B$11+$B$10+'Станд.норм.распр.'!B23*$B$12+$B$2*'Станд.норм.распр.'!B22</f>
        <v>66.450993295293301</v>
      </c>
      <c r="I30" s="2">
        <f>$E30*$B$11+$B$10+'Станд.норм.распр.'!C23*$B$12+$B$2*'Станд.норм.распр.'!C22</f>
        <v>67.240351932414342</v>
      </c>
      <c r="J30" s="2">
        <f>$E30*$B$11+$B$10+'Станд.норм.распр.'!D23*$B$12+$B$2*'Станд.норм.распр.'!D22</f>
        <v>62.918757117076893</v>
      </c>
      <c r="K30" s="2">
        <f>$E30*$B$11+$B$10+'Станд.норм.распр.'!E23*$B$12+$B$2*'Станд.норм.распр.'!E22</f>
        <v>62.863923454133328</v>
      </c>
      <c r="L30" s="2">
        <f>$E30*$B$11+$B$10+'Станд.норм.распр.'!F23*$B$12+$B$2*'Станд.норм.распр.'!F22</f>
        <v>65.998848622152579</v>
      </c>
      <c r="M30" s="2">
        <f>$E30*$B$11+$B$10+'Станд.норм.распр.'!G23*$B$12+$B$2*'Станд.норм.распр.'!G22</f>
        <v>66.412847268511541</v>
      </c>
      <c r="N30" s="2">
        <f>$E30*$B$11+$B$10+'Станд.норм.распр.'!H23*$B$12+$B$2*'Станд.норм.распр.'!H22</f>
        <v>64.05664958532725</v>
      </c>
      <c r="O30" s="2">
        <f>$E30*$B$11+$B$10+'Станд.норм.распр.'!I23*$B$12+$B$2*'Станд.норм.распр.'!I22</f>
        <v>60.023322753695538</v>
      </c>
      <c r="P30" s="2">
        <f>$E30*$B$11+$B$10+'Станд.норм.распр.'!J23*$B$12+$B$2*'Станд.норм.распр.'!J22</f>
        <v>63.99254362389911</v>
      </c>
      <c r="Q30" s="2">
        <f>$E30*$B$11+$B$10+'Станд.норм.распр.'!K23*$B$12+$B$2*'Станд.норм.распр.'!K22</f>
        <v>62.151825482433196</v>
      </c>
    </row>
    <row r="31" spans="3:17" x14ac:dyDescent="0.35">
      <c r="C31" s="4" t="s">
        <v>30</v>
      </c>
      <c r="D31" s="4" t="s">
        <v>5</v>
      </c>
      <c r="E31" s="4">
        <v>298</v>
      </c>
      <c r="F31" s="4"/>
      <c r="G31" s="4" t="s">
        <v>5</v>
      </c>
      <c r="H31" s="2">
        <f>$E31*$B$11+$B$10+'Станд.норм.распр.'!B24*$B$12+$B$2*'Станд.норм.распр.'!B23</f>
        <v>302.0100228539377</v>
      </c>
      <c r="I31" s="2">
        <f>$E31*$B$11+$B$10+'Станд.норм.распр.'!C24*$B$12+$B$2*'Станд.норм.распр.'!C23</f>
        <v>301.56555074681819</v>
      </c>
      <c r="J31" s="2">
        <f>$E31*$B$11+$B$10+'Станд.норм.распр.'!D24*$B$12+$B$2*'Станд.норм.распр.'!D23</f>
        <v>295.45638388553925</v>
      </c>
      <c r="K31" s="2">
        <f>$E31*$B$11+$B$10+'Станд.норм.распр.'!E24*$B$12+$B$2*'Станд.норм.распр.'!E23</f>
        <v>303.8871812648722</v>
      </c>
      <c r="L31" s="2">
        <f>$E31*$B$11+$B$10+'Станд.норм.распр.'!F24*$B$12+$B$2*'Станд.норм.распр.'!F23</f>
        <v>300.83229542724439</v>
      </c>
      <c r="M31" s="2">
        <f>$E31*$B$11+$B$10+'Станд.норм.распр.'!G24*$B$12+$B$2*'Станд.норм.распр.'!G23</f>
        <v>301.06269226307631</v>
      </c>
      <c r="N31" s="2">
        <f>$E31*$B$11+$B$10+'Станд.норм.распр.'!H24*$B$12+$B$2*'Станд.норм.распр.'!H23</f>
        <v>298.85788544511888</v>
      </c>
      <c r="O31" s="2">
        <f>$E31*$B$11+$B$10+'Станд.норм.распр.'!I24*$B$12+$B$2*'Станд.норм.распр.'!I23</f>
        <v>292.72868171829032</v>
      </c>
      <c r="P31" s="2">
        <f>$E31*$B$11+$B$10+'Станд.норм.распр.'!J24*$B$12+$B$2*'Станд.норм.распр.'!J23</f>
        <v>299.38197674964613</v>
      </c>
      <c r="Q31" s="2">
        <f>$E31*$B$11+$B$10+'Станд.норм.распр.'!K24*$B$12+$B$2*'Станд.норм.распр.'!K23</f>
        <v>303.41630266120774</v>
      </c>
    </row>
    <row r="32" spans="3:17" x14ac:dyDescent="0.35">
      <c r="C32" s="4" t="s">
        <v>31</v>
      </c>
      <c r="D32" s="4" t="s">
        <v>5</v>
      </c>
      <c r="E32" s="4">
        <v>689</v>
      </c>
      <c r="F32" s="4"/>
      <c r="G32" s="4" t="s">
        <v>5</v>
      </c>
      <c r="H32" s="2">
        <f>$E32*$B$11+$B$10+'Станд.норм.распр.'!B25*$B$12+$B$2*'Станд.норм.распр.'!B24</f>
        <v>688.63470168545609</v>
      </c>
      <c r="I32" s="2">
        <f>$E32*$B$11+$B$10+'Станд.норм.распр.'!C25*$B$12+$B$2*'Станд.норм.распр.'!C24</f>
        <v>693.83400390799216</v>
      </c>
      <c r="J32" s="2">
        <f>$E32*$B$11+$B$10+'Станд.норм.распр.'!D25*$B$12+$B$2*'Станд.норм.распр.'!D24</f>
        <v>693.82259497907944</v>
      </c>
      <c r="K32" s="2">
        <f>$E32*$B$11+$B$10+'Станд.норм.распр.'!E25*$B$12+$B$2*'Станд.норм.распр.'!E24</f>
        <v>690.25817769508285</v>
      </c>
      <c r="L32" s="2">
        <f>$E32*$B$11+$B$10+'Станд.норм.распр.'!F25*$B$12+$B$2*'Станд.норм.распр.'!F24</f>
        <v>695.40631629317068</v>
      </c>
      <c r="M32" s="2">
        <f>$E32*$B$11+$B$10+'Станд.норм.распр.'!G25*$B$12+$B$2*'Станд.норм.распр.'!G24</f>
        <v>691.53344592743088</v>
      </c>
      <c r="N32" s="2">
        <f>$E32*$B$11+$B$10+'Станд.норм.распр.'!H25*$B$12+$B$2*'Станд.норм.распр.'!H24</f>
        <v>693.12140971699262</v>
      </c>
      <c r="O32" s="2">
        <f>$E32*$B$11+$B$10+'Станд.норм.распр.'!I25*$B$12+$B$2*'Станд.норм.распр.'!I24</f>
        <v>693.39089104070445</v>
      </c>
      <c r="P32" s="2">
        <f>$E32*$B$11+$B$10+'Станд.норм.распр.'!J25*$B$12+$B$2*'Станд.норм.распр.'!J24</f>
        <v>691.2944114991551</v>
      </c>
      <c r="Q32" s="2">
        <f>$E32*$B$11+$B$10+'Станд.норм.распр.'!K25*$B$12+$B$2*'Станд.норм.распр.'!K24</f>
        <v>686.9877495712135</v>
      </c>
    </row>
    <row r="33" spans="3:17" x14ac:dyDescent="0.35">
      <c r="C33" s="4" t="s">
        <v>32</v>
      </c>
      <c r="D33" s="4" t="s">
        <v>5</v>
      </c>
      <c r="E33" s="4">
        <v>278</v>
      </c>
      <c r="F33" s="4"/>
      <c r="G33" s="4" t="s">
        <v>5</v>
      </c>
      <c r="H33" s="2">
        <f>$E33*$B$11+$B$10+'Станд.норм.распр.'!B26*$B$12+$B$2*'Станд.норм.распр.'!B25</f>
        <v>277.81562564749038</v>
      </c>
      <c r="I33" s="2">
        <f>$E33*$B$11+$B$10+'Станд.норм.распр.'!C26*$B$12+$B$2*'Станд.норм.распр.'!C25</f>
        <v>281.15121883936808</v>
      </c>
      <c r="J33" s="2">
        <f>$E33*$B$11+$B$10+'Станд.норм.распр.'!D26*$B$12+$B$2*'Станд.норм.распр.'!D25</f>
        <v>282.79846790363081</v>
      </c>
      <c r="K33" s="2">
        <f>$E33*$B$11+$B$10+'Станд.норм.распр.'!E26*$B$12+$B$2*'Станд.норм.распр.'!E25</f>
        <v>283.52440179085534</v>
      </c>
      <c r="L33" s="2">
        <f>$E33*$B$11+$B$10+'Станд.норм.распр.'!F26*$B$12+$B$2*'Станд.норм.распр.'!F25</f>
        <v>281.46062870953756</v>
      </c>
      <c r="M33" s="2">
        <f>$E33*$B$11+$B$10+'Станд.норм.распр.'!G26*$B$12+$B$2*'Станд.норм.распр.'!G25</f>
        <v>279.69648388287169</v>
      </c>
      <c r="N33" s="2">
        <f>$E33*$B$11+$B$10+'Станд.норм.распр.'!H26*$B$12+$B$2*'Станд.норм.распр.'!H25</f>
        <v>283.37667734129354</v>
      </c>
      <c r="O33" s="2">
        <f>$E33*$B$11+$B$10+'Станд.норм.распр.'!I26*$B$12+$B$2*'Станд.норм.распр.'!I25</f>
        <v>277.97146438140771</v>
      </c>
      <c r="P33" s="2">
        <f>$E33*$B$11+$B$10+'Станд.норм.распр.'!J26*$B$12+$B$2*'Станд.норм.распр.'!J25</f>
        <v>280.00410925571924</v>
      </c>
      <c r="Q33" s="2">
        <f>$E33*$B$11+$B$10+'Станд.норм.распр.'!K26*$B$12+$B$2*'Станд.норм.распр.'!K25</f>
        <v>283.43449482897995</v>
      </c>
    </row>
    <row r="34" spans="3:17" x14ac:dyDescent="0.35">
      <c r="C34" s="4" t="s">
        <v>33</v>
      </c>
      <c r="D34" s="4" t="s">
        <v>5</v>
      </c>
      <c r="E34" s="4">
        <v>701</v>
      </c>
      <c r="F34" s="4"/>
      <c r="G34" s="4" t="s">
        <v>5</v>
      </c>
      <c r="H34" s="2">
        <f>$E34*$B$11+$B$10+'Станд.норм.распр.'!B27*$B$12+$B$2*'Станд.норм.распр.'!B26</f>
        <v>704.02152489489526</v>
      </c>
      <c r="I34" s="2">
        <f>$E34*$B$11+$B$10+'Станд.норм.распр.'!C27*$B$12+$B$2*'Станд.норм.распр.'!C26</f>
        <v>699.18750871377415</v>
      </c>
      <c r="J34" s="2">
        <f>$E34*$B$11+$B$10+'Станд.норм.распр.'!D27*$B$12+$B$2*'Станд.норм.распр.'!D26</f>
        <v>704.51324366015615</v>
      </c>
      <c r="K34" s="2">
        <f>$E34*$B$11+$B$10+'Станд.норм.распр.'!E27*$B$12+$B$2*'Станд.норм.распр.'!E26</f>
        <v>701.8679096531996</v>
      </c>
      <c r="L34" s="2">
        <f>$E34*$B$11+$B$10+'Станд.норм.распр.'!F27*$B$12+$B$2*'Станд.норм.распр.'!F26</f>
        <v>705.31341095968673</v>
      </c>
      <c r="M34" s="2">
        <f>$E34*$B$11+$B$10+'Станд.норм.распр.'!G27*$B$12+$B$2*'Станд.норм.распр.'!G26</f>
        <v>703.49790810408012</v>
      </c>
      <c r="N34" s="2">
        <f>$E34*$B$11+$B$10+'Станд.норм.распр.'!H27*$B$12+$B$2*'Станд.норм.распр.'!H26</f>
        <v>699.26575254296768</v>
      </c>
      <c r="O34" s="2">
        <f>$E34*$B$11+$B$10+'Станд.норм.распр.'!I27*$B$12+$B$2*'Станд.норм.распр.'!I26</f>
        <v>698.27491308981553</v>
      </c>
      <c r="P34" s="2">
        <f>$E34*$B$11+$B$10+'Станд.норм.распр.'!J27*$B$12+$B$2*'Станд.норм.распр.'!J26</f>
        <v>702.45922763799899</v>
      </c>
      <c r="Q34" s="2">
        <f>$E34*$B$11+$B$10+'Станд.норм.распр.'!K27*$B$12+$B$2*'Станд.норм.распр.'!K26</f>
        <v>701.10975486980169</v>
      </c>
    </row>
    <row r="35" spans="3:17" x14ac:dyDescent="0.35">
      <c r="C35" s="4" t="s">
        <v>34</v>
      </c>
      <c r="D35" s="4" t="s">
        <v>5</v>
      </c>
      <c r="E35" s="4">
        <v>219</v>
      </c>
      <c r="F35" s="4"/>
      <c r="G35" s="4" t="s">
        <v>5</v>
      </c>
      <c r="H35" s="2">
        <f>$E35*$B$11+$B$10+'Станд.норм.распр.'!B28*$B$12+$B$2*'Станд.норм.распр.'!B27</f>
        <v>222.67008329299279</v>
      </c>
      <c r="I35" s="2">
        <f>$E35*$B$11+$B$10+'Станд.норм.распр.'!C28*$B$12+$B$2*'Станд.норм.распр.'!C27</f>
        <v>224.20992330671288</v>
      </c>
      <c r="J35" s="2">
        <f>$E35*$B$11+$B$10+'Станд.норм.распр.'!D28*$B$12+$B$2*'Станд.норм.распр.'!D27</f>
        <v>221.2274573489558</v>
      </c>
      <c r="K35" s="2">
        <f>$E35*$B$11+$B$10+'Станд.норм.распр.'!E28*$B$12+$B$2*'Станд.норм.распр.'!E27</f>
        <v>221.42319697968196</v>
      </c>
      <c r="L35" s="2">
        <f>$E35*$B$11+$B$10+'Станд.норм.распр.'!F28*$B$12+$B$2*'Станд.норм.распр.'!F27</f>
        <v>223.01359080165275</v>
      </c>
      <c r="M35" s="2">
        <f>$E35*$B$11+$B$10+'Станд.норм.распр.'!G28*$B$12+$B$2*'Станд.норм.распр.'!G27</f>
        <v>222.65896176440583</v>
      </c>
      <c r="N35" s="2">
        <f>$E35*$B$11+$B$10+'Станд.норм.распр.'!H28*$B$12+$B$2*'Станд.норм.распр.'!H27</f>
        <v>220.95248845152673</v>
      </c>
      <c r="O35" s="2">
        <f>$E35*$B$11+$B$10+'Станд.норм.распр.'!I28*$B$12+$B$2*'Станд.норм.распр.'!I27</f>
        <v>217.38712779415073</v>
      </c>
      <c r="P35" s="2">
        <f>$E35*$B$11+$B$10+'Станд.норм.распр.'!J28*$B$12+$B$2*'Станд.норм.распр.'!J27</f>
        <v>221.78913922152424</v>
      </c>
      <c r="Q35" s="2">
        <f>$E35*$B$11+$B$10+'Станд.норм.распр.'!K28*$B$12+$B$2*'Станд.норм.распр.'!K27</f>
        <v>220.51488416627399</v>
      </c>
    </row>
    <row r="36" spans="3:17" x14ac:dyDescent="0.35">
      <c r="C36" s="4" t="s">
        <v>35</v>
      </c>
      <c r="D36" s="4" t="s">
        <v>5</v>
      </c>
      <c r="E36" s="4">
        <v>666</v>
      </c>
      <c r="F36" s="4"/>
      <c r="G36" s="4" t="s">
        <v>5</v>
      </c>
      <c r="H36" s="2">
        <f>$E36*$B$11+$B$10+'Станд.норм.распр.'!B29*$B$12+$B$2*'Станд.норм.распр.'!B28</f>
        <v>669.37759934659698</v>
      </c>
      <c r="I36" s="2">
        <f>$E36*$B$11+$B$10+'Станд.норм.распр.'!C29*$B$12+$B$2*'Станд.норм.распр.'!C28</f>
        <v>671.29611884808401</v>
      </c>
      <c r="J36" s="2">
        <f>$E36*$B$11+$B$10+'Станд.норм.распр.'!D29*$B$12+$B$2*'Станд.норм.распр.'!D28</f>
        <v>665.62376046419377</v>
      </c>
      <c r="K36" s="2">
        <f>$E36*$B$11+$B$10+'Станд.норм.распр.'!E29*$B$12+$B$2*'Станд.норм.распр.'!E28</f>
        <v>663.53779434791068</v>
      </c>
      <c r="L36" s="2">
        <f>$E36*$B$11+$B$10+'Станд.норм.распр.'!F29*$B$12+$B$2*'Станд.норм.распр.'!F28</f>
        <v>670.30255545830005</v>
      </c>
      <c r="M36" s="2">
        <f>$E36*$B$11+$B$10+'Станд.норм.распр.'!G29*$B$12+$B$2*'Станд.норм.распр.'!G28</f>
        <v>670.50381935984478</v>
      </c>
      <c r="N36" s="2">
        <f>$E36*$B$11+$B$10+'Станд.норм.распр.'!H29*$B$12+$B$2*'Станд.норм.распр.'!H28</f>
        <v>666.48522793399752</v>
      </c>
      <c r="O36" s="2">
        <f>$E36*$B$11+$B$10+'Станд.норм.распр.'!I29*$B$12+$B$2*'Станд.норм.распр.'!I28</f>
        <v>669.05063099908875</v>
      </c>
      <c r="P36" s="2">
        <f>$E36*$B$11+$B$10+'Станд.норм.распр.'!J29*$B$12+$B$2*'Станд.норм.распр.'!J28</f>
        <v>666.62151639717922</v>
      </c>
      <c r="Q36" s="2">
        <f>$E36*$B$11+$B$10+'Станд.норм.распр.'!K29*$B$12+$B$2*'Станд.норм.распр.'!K28</f>
        <v>669.45298508869018</v>
      </c>
    </row>
    <row r="37" spans="3:17" x14ac:dyDescent="0.35">
      <c r="C37" s="4" t="s">
        <v>36</v>
      </c>
      <c r="D37" s="4" t="s">
        <v>5</v>
      </c>
      <c r="E37" s="4">
        <v>92</v>
      </c>
      <c r="F37" s="4"/>
      <c r="G37" s="4" t="s">
        <v>5</v>
      </c>
      <c r="H37" s="2">
        <f>$E37*$B$11+$B$10+'Станд.норм.распр.'!B30*$B$12+$B$2*'Станд.норм.распр.'!B29</f>
        <v>92.603493168047862</v>
      </c>
      <c r="I37" s="2">
        <f>$E37*$B$11+$B$10+'Станд.норм.распр.'!C30*$B$12+$B$2*'Станд.норм.распр.'!C29</f>
        <v>97.657543402368901</v>
      </c>
      <c r="J37" s="2">
        <f>$E37*$B$11+$B$10+'Станд.норм.распр.'!D30*$B$12+$B$2*'Станд.норм.распр.'!D29</f>
        <v>91.600414189946605</v>
      </c>
      <c r="K37" s="2">
        <f>$E37*$B$11+$B$10+'Станд.норм.распр.'!E30*$B$12+$B$2*'Станд.норм.распр.'!E29</f>
        <v>94.590369609199115</v>
      </c>
      <c r="L37" s="2">
        <f>$E37*$B$11+$B$10+'Станд.норм.распр.'!F30*$B$12+$B$2*'Станд.норм.распр.'!F29</f>
        <v>96.431529537716415</v>
      </c>
      <c r="M37" s="2">
        <f>$E37*$B$11+$B$10+'Станд.норм.распр.'!G30*$B$12+$B$2*'Станд.норм.распр.'!G29</f>
        <v>96.614417098811828</v>
      </c>
      <c r="N37" s="2">
        <f>$E37*$B$11+$B$10+'Станд.норм.распр.'!H30*$B$12+$B$2*'Станд.норм.распр.'!H29</f>
        <v>95.844611233536853</v>
      </c>
      <c r="O37" s="2">
        <f>$E37*$B$11+$B$10+'Станд.норм.распр.'!I30*$B$12+$B$2*'Станд.норм.распр.'!I29</f>
        <v>99.299681106407661</v>
      </c>
      <c r="P37" s="2">
        <f>$E37*$B$11+$B$10+'Станд.норм.распр.'!J30*$B$12+$B$2*'Станд.норм.распр.'!J29</f>
        <v>93.557930095761549</v>
      </c>
      <c r="Q37" s="2">
        <f>$E37*$B$11+$B$10+'Станд.норм.распр.'!K30*$B$12+$B$2*'Станд.норм.распр.'!K29</f>
        <v>98.002589776064269</v>
      </c>
    </row>
    <row r="38" spans="3:17" x14ac:dyDescent="0.35">
      <c r="C38" s="4" t="s">
        <v>37</v>
      </c>
      <c r="D38" s="4" t="s">
        <v>5</v>
      </c>
      <c r="E38" s="4">
        <v>250</v>
      </c>
      <c r="F38" s="4"/>
      <c r="G38" s="4" t="s">
        <v>5</v>
      </c>
      <c r="H38" s="2">
        <f>$E38*$B$11+$B$10+'Станд.норм.распр.'!B31*$B$12+$B$2*'Станд.норм.распр.'!B30</f>
        <v>252.73852174864442</v>
      </c>
      <c r="I38" s="2">
        <f>$E38*$B$11+$B$10+'Станд.норм.распр.'!C31*$B$12+$B$2*'Станд.норм.распр.'!C30</f>
        <v>256.28086741521838</v>
      </c>
      <c r="J38" s="2">
        <f>$E38*$B$11+$B$10+'Станд.норм.распр.'!D31*$B$12+$B$2*'Станд.норм.распр.'!D30</f>
        <v>260.64966341396212</v>
      </c>
      <c r="K38" s="2">
        <f>$E38*$B$11+$B$10+'Станд.норм.распр.'!E31*$B$12+$B$2*'Станд.норм.распр.'!E30</f>
        <v>248.27255442646856</v>
      </c>
      <c r="L38" s="2">
        <f>$E38*$B$11+$B$10+'Станд.норм.распр.'!F31*$B$12+$B$2*'Станд.норм.распр.'!F30</f>
        <v>247.88102229306244</v>
      </c>
      <c r="M38" s="2">
        <f>$E38*$B$11+$B$10+'Станд.норм.распр.'!G31*$B$12+$B$2*'Станд.норм.распр.'!G30</f>
        <v>250.86836121731903</v>
      </c>
      <c r="N38" s="2">
        <f>$E38*$B$11+$B$10+'Станд.норм.распр.'!H31*$B$12+$B$2*'Станд.норм.распр.'!H30</f>
        <v>252.98137115855934</v>
      </c>
      <c r="O38" s="2">
        <f>$E38*$B$11+$B$10+'Станд.норм.распр.'!I31*$B$12+$B$2*'Станд.норм.распр.'!I30</f>
        <v>253.03700381259841</v>
      </c>
      <c r="P38" s="2">
        <f>$E38*$B$11+$B$10+'Станд.норм.распр.'!J31*$B$12+$B$2*'Станд.норм.распр.'!J30</f>
        <v>253.96013934328221</v>
      </c>
      <c r="Q38" s="2">
        <f>$E38*$B$11+$B$10+'Станд.норм.распр.'!K31*$B$12+$B$2*'Станд.норм.распр.'!K30</f>
        <v>250.72432431402558</v>
      </c>
    </row>
    <row r="39" spans="3:17" x14ac:dyDescent="0.35">
      <c r="C39" s="4" t="s">
        <v>38</v>
      </c>
      <c r="D39" s="4" t="s">
        <v>5</v>
      </c>
      <c r="E39" s="4">
        <v>252</v>
      </c>
      <c r="F39" s="4"/>
      <c r="G39" s="4" t="s">
        <v>5</v>
      </c>
      <c r="H39" s="2">
        <f>$E39*$B$11+$B$10+'Станд.норм.распр.'!B32*$B$12+$B$2*'Станд.норм.распр.'!B31</f>
        <v>260.9506429554167</v>
      </c>
      <c r="I39" s="2">
        <f>$E39*$B$11+$B$10+'Станд.норм.распр.'!C32*$B$12+$B$2*'Станд.норм.распр.'!C31</f>
        <v>250.63562766727409</v>
      </c>
      <c r="J39" s="2">
        <f>$E39*$B$11+$B$10+'Станд.норм.распр.'!D32*$B$12+$B$2*'Станд.норм.распр.'!D31</f>
        <v>253.92386028679903</v>
      </c>
      <c r="K39" s="2">
        <f>$E39*$B$11+$B$10+'Станд.норм.распр.'!E32*$B$12+$B$2*'Станд.норм.распр.'!E31</f>
        <v>257.78623599317507</v>
      </c>
      <c r="L39" s="2">
        <f>$E39*$B$11+$B$10+'Станд.норм.распр.'!F32*$B$12+$B$2*'Станд.норм.распр.'!F31</f>
        <v>254.58836524153304</v>
      </c>
      <c r="M39" s="2">
        <f>$E39*$B$11+$B$10+'Станд.норм.распр.'!G32*$B$12+$B$2*'Станд.норм.распр.'!G31</f>
        <v>254.7853368515498</v>
      </c>
      <c r="N39" s="2">
        <f>$E39*$B$11+$B$10+'Станд.норм.распр.'!H32*$B$12+$B$2*'Станд.норм.распр.'!H31</f>
        <v>254.26750785764307</v>
      </c>
      <c r="O39" s="2">
        <f>$E39*$B$11+$B$10+'Станд.норм.распр.'!I32*$B$12+$B$2*'Станд.норм.распр.'!I31</f>
        <v>251.075455439699</v>
      </c>
      <c r="P39" s="2">
        <f>$E39*$B$11+$B$10+'Станд.норм.распр.'!J32*$B$12+$B$2*'Станд.норм.распр.'!J31</f>
        <v>256.52680183621123</v>
      </c>
      <c r="Q39" s="2">
        <f>$E39*$B$11+$B$10+'Станд.норм.распр.'!K32*$B$12+$B$2*'Станд.норм.распр.'!K31</f>
        <v>249.60693890998664</v>
      </c>
    </row>
    <row r="40" spans="3:17" x14ac:dyDescent="0.35">
      <c r="C40" s="4" t="s">
        <v>39</v>
      </c>
      <c r="D40" s="4" t="s">
        <v>5</v>
      </c>
      <c r="E40" s="4">
        <v>110</v>
      </c>
      <c r="F40" s="4"/>
      <c r="G40" s="4" t="s">
        <v>5</v>
      </c>
      <c r="H40" s="2">
        <f>$E40*$B$11+$B$10+'Станд.норм.распр.'!B33*$B$12+$B$2*'Станд.норм.распр.'!B32</f>
        <v>112.76068181442679</v>
      </c>
      <c r="I40" s="2">
        <f>$E40*$B$11+$B$10+'Станд.норм.распр.'!C33*$B$12+$B$2*'Станд.норм.распр.'!C32</f>
        <v>106.6883185657498</v>
      </c>
      <c r="J40" s="2">
        <f>$E40*$B$11+$B$10+'Станд.норм.распр.'!D33*$B$12+$B$2*'Станд.норм.распр.'!D32</f>
        <v>118.72196665618685</v>
      </c>
      <c r="K40" s="2">
        <f>$E40*$B$11+$B$10+'Станд.норм.распр.'!E33*$B$12+$B$2*'Станд.норм.распр.'!E32</f>
        <v>109.27693102613557</v>
      </c>
      <c r="L40" s="2">
        <f>$E40*$B$11+$B$10+'Станд.норм.распр.'!F33*$B$12+$B$2*'Станд.норм.распр.'!F32</f>
        <v>109.77097468722786</v>
      </c>
      <c r="M40" s="2">
        <f>$E40*$B$11+$B$10+'Станд.норм.распр.'!G33*$B$12+$B$2*'Станд.норм.распр.'!G32</f>
        <v>115.3045789677999</v>
      </c>
      <c r="N40" s="2">
        <f>$E40*$B$11+$B$10+'Станд.норм.распр.'!H33*$B$12+$B$2*'Станд.норм.распр.'!H32</f>
        <v>112.03619743438321</v>
      </c>
      <c r="O40" s="2">
        <f>$E40*$B$11+$B$10+'Станд.норм.распр.'!I33*$B$12+$B$2*'Станд.норм.распр.'!I32</f>
        <v>111.85326212481596</v>
      </c>
      <c r="P40" s="2">
        <f>$E40*$B$11+$B$10+'Станд.норм.распр.'!J33*$B$12+$B$2*'Станд.норм.распр.'!J32</f>
        <v>110.74618197281961</v>
      </c>
      <c r="Q40" s="2">
        <f>$E40*$B$11+$B$10+'Станд.норм.распр.'!K33*$B$12+$B$2*'Станд.норм.распр.'!K32</f>
        <v>103.59082199184923</v>
      </c>
    </row>
    <row r="41" spans="3:17" x14ac:dyDescent="0.35">
      <c r="C41" s="4" t="s">
        <v>40</v>
      </c>
      <c r="D41" s="4" t="s">
        <v>5</v>
      </c>
      <c r="E41" s="4">
        <v>185</v>
      </c>
      <c r="F41" s="4"/>
      <c r="G41" s="4" t="s">
        <v>5</v>
      </c>
      <c r="H41" s="2">
        <f>$E41*$B$11+$B$10+'Станд.норм.распр.'!B34*$B$12+$B$2*'Станд.норм.распр.'!B33</f>
        <v>189.18340846913634</v>
      </c>
      <c r="I41" s="2">
        <f>$E41*$B$11+$B$10+'Станд.норм.распр.'!C34*$B$12+$B$2*'Станд.норм.распр.'!C33</f>
        <v>188.52187112689717</v>
      </c>
      <c r="J41" s="2">
        <f>$E41*$B$11+$B$10+'Станд.норм.распр.'!D34*$B$12+$B$2*'Станд.норм.распр.'!D33</f>
        <v>186.0023879945511</v>
      </c>
      <c r="K41" s="2">
        <f>$E41*$B$11+$B$10+'Станд.норм.распр.'!E34*$B$12+$B$2*'Станд.норм.распр.'!E33</f>
        <v>186.64656785778061</v>
      </c>
      <c r="L41" s="2">
        <f>$E41*$B$11+$B$10+'Станд.норм.распр.'!F34*$B$12+$B$2*'Станд.норм.распр.'!F33</f>
        <v>187.87996249931166</v>
      </c>
      <c r="M41" s="2">
        <f>$E41*$B$11+$B$10+'Станд.норм.распр.'!G34*$B$12+$B$2*'Станд.норм.распр.'!G33</f>
        <v>193.38970823274576</v>
      </c>
      <c r="N41" s="2">
        <f>$E41*$B$11+$B$10+'Станд.норм.распр.'!H34*$B$12+$B$2*'Станд.норм.распр.'!H33</f>
        <v>176.71967534089345</v>
      </c>
      <c r="O41" s="2">
        <f>$E41*$B$11+$B$10+'Станд.норм.распр.'!I34*$B$12+$B$2*'Станд.норм.распр.'!I33</f>
        <v>186.52577809381182</v>
      </c>
      <c r="P41" s="2">
        <f>$E41*$B$11+$B$10+'Станд.норм.распр.'!J34*$B$12+$B$2*'Станд.норм.распр.'!J33</f>
        <v>181.33701532325358</v>
      </c>
      <c r="Q41" s="2">
        <f>$E41*$B$11+$B$10+'Станд.норм.распр.'!K34*$B$12+$B$2*'Станд.норм.распр.'!K33</f>
        <v>186.38834253043751</v>
      </c>
    </row>
    <row r="42" spans="3:17" x14ac:dyDescent="0.35">
      <c r="C42" s="4" t="s">
        <v>41</v>
      </c>
      <c r="D42" s="4" t="s">
        <v>5</v>
      </c>
      <c r="E42" s="4">
        <v>281</v>
      </c>
      <c r="F42" s="4"/>
      <c r="G42" s="4" t="s">
        <v>5</v>
      </c>
      <c r="H42" s="2">
        <f>$E42*$B$11+$B$10+'Станд.норм.распр.'!B35*$B$12+$B$2*'Станд.норм.распр.'!B34</f>
        <v>279.78758695154102</v>
      </c>
      <c r="I42" s="2">
        <f>$E42*$B$11+$B$10+'Станд.норм.распр.'!C35*$B$12+$B$2*'Станд.норм.распр.'!C34</f>
        <v>282.60842455948296</v>
      </c>
      <c r="J42" s="2">
        <f>$E42*$B$11+$B$10+'Станд.норм.распр.'!D35*$B$12+$B$2*'Станд.норм.распр.'!D34</f>
        <v>279.85356897316524</v>
      </c>
      <c r="K42" s="2">
        <f>$E42*$B$11+$B$10+'Станд.норм.распр.'!E35*$B$12+$B$2*'Станд.норм.распр.'!E34</f>
        <v>283.66730149228533</v>
      </c>
      <c r="L42" s="2">
        <f>$E42*$B$11+$B$10+'Станд.норм.распр.'!F35*$B$12+$B$2*'Станд.норм.распр.'!F34</f>
        <v>282.91029108059593</v>
      </c>
      <c r="M42" s="2">
        <f>$E42*$B$11+$B$10+'Станд.норм.распр.'!G35*$B$12+$B$2*'Станд.норм.распр.'!G34</f>
        <v>280.44628985354211</v>
      </c>
      <c r="N42" s="2">
        <f>$E42*$B$11+$B$10+'Станд.норм.распр.'!H35*$B$12+$B$2*'Станд.норм.распр.'!H34</f>
        <v>287.6356362872757</v>
      </c>
      <c r="O42" s="2">
        <f>$E42*$B$11+$B$10+'Станд.норм.распр.'!I35*$B$12+$B$2*'Станд.норм.распр.'!I34</f>
        <v>285.90882871922804</v>
      </c>
      <c r="P42" s="2">
        <f>$E42*$B$11+$B$10+'Станд.норм.распр.'!J35*$B$12+$B$2*'Станд.норм.распр.'!J34</f>
        <v>283.72792636274244</v>
      </c>
      <c r="Q42" s="2">
        <f>$E42*$B$11+$B$10+'Станд.норм.распр.'!K35*$B$12+$B$2*'Станд.норм.распр.'!K34</f>
        <v>284.84237978828605</v>
      </c>
    </row>
    <row r="43" spans="3:17" x14ac:dyDescent="0.35">
      <c r="C43" s="4" t="s">
        <v>42</v>
      </c>
      <c r="D43" s="4" t="s">
        <v>5</v>
      </c>
      <c r="E43" s="4">
        <v>315</v>
      </c>
      <c r="F43" s="4"/>
      <c r="G43" s="4" t="s">
        <v>5</v>
      </c>
      <c r="H43" s="2">
        <f>$E43*$B$11+$B$10+'Станд.норм.распр.'!B36*$B$12+$B$2*'Станд.норм.распр.'!B35</f>
        <v>315.96825875111972</v>
      </c>
      <c r="I43" s="2">
        <f>$E43*$B$11+$B$10+'Станд.норм.распр.'!C36*$B$12+$B$2*'Станд.норм.распр.'!C35</f>
        <v>321.00887415707984</v>
      </c>
      <c r="J43" s="2">
        <f>$E43*$B$11+$B$10+'Станд.норм.распр.'!D36*$B$12+$B$2*'Станд.норм.распр.'!D35</f>
        <v>318.72824206856603</v>
      </c>
      <c r="K43" s="2">
        <f>$E43*$B$11+$B$10+'Станд.норм.распр.'!E36*$B$12+$B$2*'Станд.норм.распр.'!E35</f>
        <v>319.04128218683763</v>
      </c>
      <c r="L43" s="2">
        <f>$E43*$B$11+$B$10+'Станд.норм.распр.'!F36*$B$12+$B$2*'Станд.норм.распр.'!F35</f>
        <v>319.92713502858533</v>
      </c>
      <c r="M43" s="2">
        <f>$E43*$B$11+$B$10+'Станд.норм.распр.'!G36*$B$12+$B$2*'Станд.норм.распр.'!G35</f>
        <v>313.70983152100234</v>
      </c>
      <c r="N43" s="2">
        <f>$E43*$B$11+$B$10+'Станд.норм.распр.'!H36*$B$12+$B$2*'Станд.норм.распр.'!H35</f>
        <v>312.56494003627449</v>
      </c>
      <c r="O43" s="2">
        <f>$E43*$B$11+$B$10+'Станд.норм.распр.'!I36*$B$12+$B$2*'Станд.норм.распр.'!I35</f>
        <v>315.57734428587719</v>
      </c>
      <c r="P43" s="2">
        <f>$E43*$B$11+$B$10+'Станд.норм.распр.'!J36*$B$12+$B$2*'Станд.норм.распр.'!J35</f>
        <v>312.15608624278684</v>
      </c>
      <c r="Q43" s="2">
        <f>$E43*$B$11+$B$10+'Станд.норм.распр.'!K36*$B$12+$B$2*'Станд.норм.распр.'!K35</f>
        <v>320.67757411368075</v>
      </c>
    </row>
    <row r="44" spans="3:17" x14ac:dyDescent="0.35">
      <c r="C44" s="4" t="s">
        <v>43</v>
      </c>
      <c r="D44" s="4" t="s">
        <v>5</v>
      </c>
      <c r="E44" s="4">
        <v>883</v>
      </c>
      <c r="F44" s="4"/>
      <c r="G44" s="4" t="s">
        <v>5</v>
      </c>
      <c r="H44" s="2">
        <f>$E44*$B$11+$B$10+'Станд.норм.распр.'!B37*$B$12+$B$2*'Станд.норм.распр.'!B36</f>
        <v>885.39544192986796</v>
      </c>
      <c r="I44" s="2">
        <f>$E44*$B$11+$B$10+'Станд.норм.распр.'!C37*$B$12+$B$2*'Станд.норм.распр.'!C36</f>
        <v>886.58375814862666</v>
      </c>
      <c r="J44" s="2">
        <f>$E44*$B$11+$B$10+'Станд.норм.распр.'!D37*$B$12+$B$2*'Станд.норм.распр.'!D36</f>
        <v>884.89249113241385</v>
      </c>
      <c r="K44" s="2">
        <f>$E44*$B$11+$B$10+'Станд.норм.распр.'!E37*$B$12+$B$2*'Станд.норм.распр.'!E36</f>
        <v>882.77960647406871</v>
      </c>
      <c r="L44" s="2">
        <f>$E44*$B$11+$B$10+'Станд.норм.распр.'!F37*$B$12+$B$2*'Станд.норм.распр.'!F36</f>
        <v>882.7577690515318</v>
      </c>
      <c r="M44" s="2">
        <f>$E44*$B$11+$B$10+'Станд.норм.распр.'!G37*$B$12+$B$2*'Станд.норм.распр.'!G36</f>
        <v>885.65666972659528</v>
      </c>
      <c r="N44" s="2">
        <f>$E44*$B$11+$B$10+'Станд.норм.распр.'!H37*$B$12+$B$2*'Станд.норм.распр.'!H36</f>
        <v>883.3020043146098</v>
      </c>
      <c r="O44" s="2">
        <f>$E44*$B$11+$B$10+'Станд.норм.распр.'!I37*$B$12+$B$2*'Станд.норм.распр.'!I36</f>
        <v>887.10212465390214</v>
      </c>
      <c r="P44" s="2">
        <f>$E44*$B$11+$B$10+'Станд.норм.распр.'!J37*$B$12+$B$2*'Станд.норм.распр.'!J36</f>
        <v>881.2679189593473</v>
      </c>
      <c r="Q44" s="2">
        <f>$E44*$B$11+$B$10+'Станд.норм.распр.'!K37*$B$12+$B$2*'Станд.норм.распр.'!K36</f>
        <v>884.31559773358458</v>
      </c>
    </row>
    <row r="45" spans="3:17" x14ac:dyDescent="0.35">
      <c r="C45" s="4" t="s">
        <v>44</v>
      </c>
      <c r="D45" s="4" t="s">
        <v>5</v>
      </c>
      <c r="E45" s="4">
        <v>75</v>
      </c>
      <c r="F45" s="4"/>
      <c r="G45" s="4" t="s">
        <v>5</v>
      </c>
      <c r="H45" s="2">
        <f>$E45*$B$11+$B$10+'Станд.норм.распр.'!B38*$B$12+$B$2*'Станд.норм.распр.'!B37</f>
        <v>77.619279035163345</v>
      </c>
      <c r="I45" s="2">
        <f>$E45*$B$11+$B$10+'Станд.норм.распр.'!C38*$B$12+$B$2*'Станд.норм.распр.'!C37</f>
        <v>77.226623342314269</v>
      </c>
      <c r="J45" s="2">
        <f>$E45*$B$11+$B$10+'Станд.норм.распр.'!D38*$B$12+$B$2*'Станд.норм.распр.'!D37</f>
        <v>81.235089818394044</v>
      </c>
      <c r="K45" s="2">
        <f>$E45*$B$11+$B$10+'Станд.норм.распр.'!E38*$B$12+$B$2*'Станд.норм.распр.'!E37</f>
        <v>74.999376773805125</v>
      </c>
      <c r="L45" s="2">
        <f>$E45*$B$11+$B$10+'Станд.норм.распр.'!F38*$B$12+$B$2*'Станд.норм.распр.'!F37</f>
        <v>80.977253982156981</v>
      </c>
      <c r="M45" s="2">
        <f>$E45*$B$11+$B$10+'Станд.норм.распр.'!G38*$B$12+$B$2*'Станд.норм.распр.'!G37</f>
        <v>75.782859847779036</v>
      </c>
      <c r="N45" s="2">
        <f>$E45*$B$11+$B$10+'Станд.норм.распр.'!H38*$B$12+$B$2*'Станд.норм.распр.'!H37</f>
        <v>81.367549991002306</v>
      </c>
      <c r="O45" s="2">
        <f>$E45*$B$11+$B$10+'Станд.норм.распр.'!I38*$B$12+$B$2*'Станд.норм.распр.'!I37</f>
        <v>80.037230271729641</v>
      </c>
      <c r="P45" s="2">
        <f>$E45*$B$11+$B$10+'Станд.норм.распр.'!J38*$B$12+$B$2*'Станд.норм.распр.'!J37</f>
        <v>76.157963202378596</v>
      </c>
      <c r="Q45" s="2">
        <f>$E45*$B$11+$B$10+'Станд.норм.распр.'!K38*$B$12+$B$2*'Станд.норм.распр.'!K37</f>
        <v>79.895618081311113</v>
      </c>
    </row>
    <row r="46" spans="3:17" x14ac:dyDescent="0.35">
      <c r="C46" s="4" t="s">
        <v>45</v>
      </c>
      <c r="D46" s="4" t="s">
        <v>5</v>
      </c>
      <c r="E46" s="4">
        <v>763</v>
      </c>
      <c r="F46" s="4"/>
      <c r="G46" s="4" t="s">
        <v>5</v>
      </c>
      <c r="H46" s="2">
        <f>$E46*$B$11+$B$10+'Станд.норм.распр.'!B39*$B$12+$B$2*'Станд.норм.распр.'!B38</f>
        <v>763.95629161983379</v>
      </c>
      <c r="I46" s="2">
        <f>$E46*$B$11+$B$10+'Станд.норм.распр.'!C39*$B$12+$B$2*'Станд.норм.распр.'!C38</f>
        <v>770.34590935785673</v>
      </c>
      <c r="J46" s="2">
        <f>$E46*$B$11+$B$10+'Станд.норм.распр.'!D39*$B$12+$B$2*'Станд.норм.распр.'!D38</f>
        <v>768.62291757483035</v>
      </c>
      <c r="K46" s="2">
        <f>$E46*$B$11+$B$10+'Станд.норм.распр.'!E39*$B$12+$B$2*'Станд.норм.распр.'!E38</f>
        <v>763.81414942137781</v>
      </c>
      <c r="L46" s="2">
        <f>$E46*$B$11+$B$10+'Станд.норм.распр.'!F39*$B$12+$B$2*'Станд.норм.распр.'!F38</f>
        <v>764.14853560767369</v>
      </c>
      <c r="M46" s="2">
        <f>$E46*$B$11+$B$10+'Станд.норм.распр.'!G39*$B$12+$B$2*'Станд.норм.распр.'!G38</f>
        <v>761.6673215112678</v>
      </c>
      <c r="N46" s="2">
        <f>$E46*$B$11+$B$10+'Станд.норм.распр.'!H39*$B$12+$B$2*'Станд.норм.распр.'!H38</f>
        <v>762.86081571073737</v>
      </c>
      <c r="O46" s="2">
        <f>$E46*$B$11+$B$10+'Станд.норм.распр.'!I39*$B$12+$B$2*'Станд.норм.распр.'!I38</f>
        <v>765.79275218922703</v>
      </c>
      <c r="P46" s="2">
        <f>$E46*$B$11+$B$10+'Станд.норм.распр.'!J39*$B$12+$B$2*'Станд.норм.распр.'!J38</f>
        <v>762.44575347904174</v>
      </c>
      <c r="Q46" s="2">
        <f>$E46*$B$11+$B$10+'Станд.норм.распр.'!K39*$B$12+$B$2*'Станд.норм.распр.'!K38</f>
        <v>766.80072765942896</v>
      </c>
    </row>
    <row r="47" spans="3:17" x14ac:dyDescent="0.35">
      <c r="C47" s="4" t="s">
        <v>46</v>
      </c>
      <c r="D47" s="4" t="s">
        <v>5</v>
      </c>
      <c r="E47" s="4">
        <v>438</v>
      </c>
      <c r="F47" s="4"/>
      <c r="G47" s="4" t="s">
        <v>5</v>
      </c>
      <c r="H47" s="2">
        <f>$E47*$B$11+$B$10+'Станд.норм.распр.'!B40*$B$12+$B$2*'Станд.норм.распр.'!B39</f>
        <v>443.16644945996813</v>
      </c>
      <c r="I47" s="2">
        <f>$E47*$B$11+$B$10+'Станд.норм.распр.'!C40*$B$12+$B$2*'Станд.норм.распр.'!C39</f>
        <v>435.88937043881742</v>
      </c>
      <c r="J47" s="2">
        <f>$E47*$B$11+$B$10+'Станд.норм.распр.'!D40*$B$12+$B$2*'Станд.норм.распр.'!D39</f>
        <v>445.33657839696389</v>
      </c>
      <c r="K47" s="2">
        <f>$E47*$B$11+$B$10+'Станд.норм.распр.'!E40*$B$12+$B$2*'Станд.норм.распр.'!E39</f>
        <v>444.32719480158994</v>
      </c>
      <c r="L47" s="2">
        <f>$E47*$B$11+$B$10+'Станд.норм.распр.'!F40*$B$12+$B$2*'Станд.норм.распр.'!F39</f>
        <v>442.04082380150794</v>
      </c>
      <c r="M47" s="2">
        <f>$E47*$B$11+$B$10+'Станд.норм.распр.'!G40*$B$12+$B$2*'Станд.норм.распр.'!G39</f>
        <v>439.26442660580506</v>
      </c>
      <c r="N47" s="2">
        <f>$E47*$B$11+$B$10+'Станд.норм.распр.'!H40*$B$12+$B$2*'Станд.норм.распр.'!H39</f>
        <v>440.27550322556635</v>
      </c>
      <c r="O47" s="2">
        <f>$E47*$B$11+$B$10+'Станд.норм.распр.'!I40*$B$12+$B$2*'Станд.норм.распр.'!I39</f>
        <v>443.05847356685263</v>
      </c>
      <c r="P47" s="2">
        <f>$E47*$B$11+$B$10+'Станд.норм.распр.'!J40*$B$12+$B$2*'Станд.норм.распр.'!J39</f>
        <v>441.58254124471569</v>
      </c>
      <c r="Q47" s="2">
        <f>$E47*$B$11+$B$10+'Станд.норм.распр.'!K40*$B$12+$B$2*'Станд.норм.распр.'!K39</f>
        <v>440.89584727902547</v>
      </c>
    </row>
    <row r="48" spans="3:17" x14ac:dyDescent="0.35">
      <c r="C48" s="4" t="s">
        <v>47</v>
      </c>
      <c r="D48" s="4" t="s">
        <v>5</v>
      </c>
      <c r="E48" s="4">
        <v>752</v>
      </c>
      <c r="F48" s="4"/>
      <c r="G48" s="4" t="s">
        <v>5</v>
      </c>
      <c r="H48" s="2">
        <f>$E48*$B$11+$B$10+'Станд.норм.распр.'!B41*$B$12+$B$2*'Станд.норм.распр.'!B40</f>
        <v>752.33517267688876</v>
      </c>
      <c r="I48" s="2">
        <f>$E48*$B$11+$B$10+'Станд.норм.распр.'!C41*$B$12+$B$2*'Станд.норм.распр.'!C40</f>
        <v>755.30265243569738</v>
      </c>
      <c r="J48" s="2">
        <f>$E48*$B$11+$B$10+'Станд.норм.распр.'!D41*$B$12+$B$2*'Станд.норм.распр.'!D40</f>
        <v>758.13383622799302</v>
      </c>
      <c r="K48" s="2">
        <f>$E48*$B$11+$B$10+'Станд.норм.распр.'!E41*$B$12+$B$2*'Станд.норм.распр.'!E40</f>
        <v>753.57555451146618</v>
      </c>
      <c r="L48" s="2">
        <f>$E48*$B$11+$B$10+'Станд.норм.распр.'!F41*$B$12+$B$2*'Станд.норм.распр.'!F40</f>
        <v>755.55324050865602</v>
      </c>
      <c r="M48" s="2">
        <f>$E48*$B$11+$B$10+'Станд.норм.распр.'!G41*$B$12+$B$2*'Станд.норм.распр.'!G40</f>
        <v>750.0141417432169</v>
      </c>
      <c r="N48" s="2">
        <f>$E48*$B$11+$B$10+'Станд.норм.распр.'!H41*$B$12+$B$2*'Станд.норм.распр.'!H40</f>
        <v>746.11790145636769</v>
      </c>
      <c r="O48" s="2">
        <f>$E48*$B$11+$B$10+'Станд.норм.распр.'!I41*$B$12+$B$2*'Станд.норм.распр.'!I40</f>
        <v>750.4006574373343</v>
      </c>
      <c r="P48" s="2">
        <f>$E48*$B$11+$B$10+'Станд.норм.распр.'!J41*$B$12+$B$2*'Станд.норм.распр.'!J40</f>
        <v>754.73715045800782</v>
      </c>
      <c r="Q48" s="2">
        <f>$E48*$B$11+$B$10+'Станд.норм.распр.'!K41*$B$12+$B$2*'Станд.норм.распр.'!K40</f>
        <v>752.03696937306086</v>
      </c>
    </row>
    <row r="49" spans="3:17" x14ac:dyDescent="0.35">
      <c r="C49" s="4" t="s">
        <v>48</v>
      </c>
      <c r="D49" s="4" t="s">
        <v>5</v>
      </c>
      <c r="E49" s="4">
        <v>607</v>
      </c>
      <c r="F49" s="4"/>
      <c r="G49" s="4" t="s">
        <v>5</v>
      </c>
      <c r="H49" s="2">
        <f>$E49*$B$11+$B$10+'Станд.норм.распр.'!B42*$B$12+$B$2*'Станд.норм.распр.'!B41</f>
        <v>608.89217531037866</v>
      </c>
      <c r="I49" s="2">
        <f>$E49*$B$11+$B$10+'Станд.норм.распр.'!C42*$B$12+$B$2*'Станд.норм.распр.'!C41</f>
        <v>610.22381061373744</v>
      </c>
      <c r="J49" s="2">
        <f>$E49*$B$11+$B$10+'Станд.норм.распр.'!D42*$B$12+$B$2*'Станд.норм.распр.'!D41</f>
        <v>601.77113874995848</v>
      </c>
      <c r="K49" s="2">
        <f>$E49*$B$11+$B$10+'Станд.норм.распр.'!E42*$B$12+$B$2*'Станд.норм.распр.'!E41</f>
        <v>611.64531377069943</v>
      </c>
      <c r="L49" s="2">
        <f>$E49*$B$11+$B$10+'Станд.норм.распр.'!F42*$B$12+$B$2*'Станд.норм.распр.'!F41</f>
        <v>605.47782578904298</v>
      </c>
      <c r="M49" s="2">
        <f>$E49*$B$11+$B$10+'Станд.норм.распр.'!G42*$B$12+$B$2*'Станд.норм.распр.'!G41</f>
        <v>603.56375917361584</v>
      </c>
      <c r="N49" s="2">
        <f>$E49*$B$11+$B$10+'Станд.норм.распр.'!H42*$B$12+$B$2*'Станд.норм.распр.'!H41</f>
        <v>609.00305908542941</v>
      </c>
      <c r="O49" s="2">
        <f>$E49*$B$11+$B$10+'Станд.норм.распр.'!I42*$B$12+$B$2*'Станд.норм.распр.'!I41</f>
        <v>614.9199055613135</v>
      </c>
      <c r="P49" s="2">
        <f>$E49*$B$11+$B$10+'Станд.норм.распр.'!J42*$B$12+$B$2*'Станд.норм.распр.'!J41</f>
        <v>606.39119539299281</v>
      </c>
      <c r="Q49" s="2">
        <f>$E49*$B$11+$B$10+'Станд.норм.распр.'!K42*$B$12+$B$2*'Станд.норм.распр.'!K41</f>
        <v>606.82375016366132</v>
      </c>
    </row>
    <row r="50" spans="3:17" x14ac:dyDescent="0.35">
      <c r="C50" s="4" t="s">
        <v>49</v>
      </c>
      <c r="D50" s="4" t="s">
        <v>5</v>
      </c>
      <c r="E50" s="4">
        <v>733</v>
      </c>
      <c r="F50" s="4"/>
      <c r="G50" s="4" t="s">
        <v>5</v>
      </c>
      <c r="H50" s="2">
        <f>$E50*$B$11+$B$10+'Станд.норм.распр.'!B43*$B$12+$B$2*'Станд.норм.распр.'!B42</f>
        <v>734.23335462881369</v>
      </c>
      <c r="I50" s="2">
        <f>$E50*$B$11+$B$10+'Станд.норм.распр.'!C43*$B$12+$B$2*'Станд.норм.распр.'!C42</f>
        <v>736.35667778522475</v>
      </c>
      <c r="J50" s="2">
        <f>$E50*$B$11+$B$10+'Станд.норм.распр.'!D43*$B$12+$B$2*'Станд.норм.распр.'!D42</f>
        <v>736.22850588013534</v>
      </c>
      <c r="K50" s="2">
        <f>$E50*$B$11+$B$10+'Станд.норм.распр.'!E43*$B$12+$B$2*'Станд.норм.распр.'!E42</f>
        <v>734.73720196067006</v>
      </c>
      <c r="L50" s="2">
        <f>$E50*$B$11+$B$10+'Станд.норм.распр.'!F43*$B$12+$B$2*'Станд.норм.распр.'!F42</f>
        <v>738.19173386742477</v>
      </c>
      <c r="M50" s="2">
        <f>$E50*$B$11+$B$10+'Станд.норм.распр.'!G43*$B$12+$B$2*'Станд.норм.распр.'!G42</f>
        <v>732.51436280348571</v>
      </c>
      <c r="N50" s="2">
        <f>$E50*$B$11+$B$10+'Станд.норм.распр.'!H43*$B$12+$B$2*'Станд.норм.распр.'!H42</f>
        <v>734.94894733390538</v>
      </c>
      <c r="O50" s="2">
        <f>$E50*$B$11+$B$10+'Станд.норм.распр.'!I43*$B$12+$B$2*'Станд.норм.распр.'!I42</f>
        <v>735.05234005584498</v>
      </c>
      <c r="P50" s="2">
        <f>$E50*$B$11+$B$10+'Станд.норм.распр.'!J43*$B$12+$B$2*'Станд.норм.распр.'!J42</f>
        <v>736.66640858576284</v>
      </c>
      <c r="Q50" s="2">
        <f>$E50*$B$11+$B$10+'Станд.норм.распр.'!K43*$B$12+$B$2*'Станд.норм.распр.'!K42</f>
        <v>742.54073789721588</v>
      </c>
    </row>
    <row r="51" spans="3:17" x14ac:dyDescent="0.35">
      <c r="C51" s="4" t="s">
        <v>50</v>
      </c>
      <c r="D51" s="4" t="s">
        <v>5</v>
      </c>
      <c r="E51" s="4">
        <v>526</v>
      </c>
      <c r="F51" s="4"/>
      <c r="G51" s="4" t="s">
        <v>5</v>
      </c>
      <c r="H51" s="2">
        <f>$E51*$B$11+$B$10+'Станд.норм.распр.'!B44*$B$12+$B$2*'Станд.норм.распр.'!B43</f>
        <v>527.80957431944262</v>
      </c>
      <c r="I51" s="2">
        <f>$E51*$B$11+$B$10+'Станд.норм.распр.'!C44*$B$12+$B$2*'Станд.норм.распр.'!C43</f>
        <v>527.37751022116572</v>
      </c>
      <c r="J51" s="2">
        <f>$E51*$B$11+$B$10+'Станд.норм.распр.'!D44*$B$12+$B$2*'Станд.норм.распр.'!D43</f>
        <v>527.76287108438555</v>
      </c>
      <c r="K51" s="2">
        <f>$E51*$B$11+$B$10+'Станд.норм.распр.'!E44*$B$12+$B$2*'Станд.норм.распр.'!E43</f>
        <v>526.95023483986733</v>
      </c>
      <c r="L51" s="2">
        <f>$E51*$B$11+$B$10+'Станд.норм.распр.'!F44*$B$12+$B$2*'Станд.норм.распр.'!F43</f>
        <v>530.83662631470361</v>
      </c>
      <c r="M51" s="2">
        <f>$E51*$B$11+$B$10+'Станд.норм.распр.'!G44*$B$12+$B$2*'Станд.норм.распр.'!G43</f>
        <v>527.72194837027928</v>
      </c>
      <c r="N51" s="2">
        <f>$E51*$B$11+$B$10+'Станд.норм.распр.'!H44*$B$12+$B$2*'Станд.норм.распр.'!H43</f>
        <v>527.20244636086863</v>
      </c>
      <c r="O51" s="2">
        <f>$E51*$B$11+$B$10+'Станд.норм.распр.'!I44*$B$12+$B$2*'Станд.норм.распр.'!I43</f>
        <v>535.55414430386736</v>
      </c>
      <c r="P51" s="2">
        <f>$E51*$B$11+$B$10+'Станд.норм.распр.'!J44*$B$12+$B$2*'Станд.норм.распр.'!J43</f>
        <v>531.08843008598774</v>
      </c>
      <c r="Q51" s="2">
        <f>$E51*$B$11+$B$10+'Станд.норм.распр.'!K44*$B$12+$B$2*'Станд.норм.распр.'!K43</f>
        <v>527.57309000819805</v>
      </c>
    </row>
    <row r="52" spans="3:17" x14ac:dyDescent="0.35">
      <c r="C52" s="4" t="s">
        <v>51</v>
      </c>
      <c r="D52" s="4" t="s">
        <v>5</v>
      </c>
      <c r="E52" s="4">
        <v>270</v>
      </c>
      <c r="F52" s="4"/>
      <c r="G52" s="4" t="s">
        <v>5</v>
      </c>
      <c r="H52" s="2">
        <f>$E52*$B$11+$B$10+'Станд.норм.распр.'!B45*$B$12+$B$2*'Станд.норм.распр.'!B44</f>
        <v>272.99398789643601</v>
      </c>
      <c r="I52" s="2">
        <f>$E52*$B$11+$B$10+'Станд.норм.распр.'!C45*$B$12+$B$2*'Станд.норм.распр.'!C44</f>
        <v>269.9552583226905</v>
      </c>
      <c r="J52" s="2">
        <f>$E52*$B$11+$B$10+'Станд.норм.распр.'!D45*$B$12+$B$2*'Станд.норм.распр.'!D44</f>
        <v>269.16839965913096</v>
      </c>
      <c r="K52" s="2">
        <f>$E52*$B$11+$B$10+'Станд.норм.распр.'!E45*$B$12+$B$2*'Станд.норм.распр.'!E44</f>
        <v>272.44079274630349</v>
      </c>
      <c r="L52" s="2">
        <f>$E52*$B$11+$B$10+'Станд.норм.распр.'!F45*$B$12+$B$2*'Станд.норм.распр.'!F44</f>
        <v>271.47673056744389</v>
      </c>
      <c r="M52" s="2">
        <f>$E52*$B$11+$B$10+'Станд.норм.распр.'!G45*$B$12+$B$2*'Станд.норм.распр.'!G44</f>
        <v>275.83182396035409</v>
      </c>
      <c r="N52" s="2">
        <f>$E52*$B$11+$B$10+'Станд.норм.распр.'!H45*$B$12+$B$2*'Станд.норм.распр.'!H44</f>
        <v>273.12482075564913</v>
      </c>
      <c r="O52" s="2">
        <f>$E52*$B$11+$B$10+'Станд.норм.распр.'!I45*$B$12+$B$2*'Станд.норм.распр.'!I44</f>
        <v>269.69638179714093</v>
      </c>
      <c r="P52" s="2">
        <f>$E52*$B$11+$B$10+'Станд.норм.распр.'!J45*$B$12+$B$2*'Станд.норм.распр.'!J44</f>
        <v>271.10441390461057</v>
      </c>
      <c r="Q52" s="2">
        <f>$E52*$B$11+$B$10+'Станд.норм.распр.'!K45*$B$12+$B$2*'Станд.норм.распр.'!K44</f>
        <v>270.78332573644002</v>
      </c>
    </row>
    <row r="53" spans="3:17" x14ac:dyDescent="0.35">
      <c r="C53" s="4" t="s">
        <v>52</v>
      </c>
      <c r="D53" s="4" t="s">
        <v>5</v>
      </c>
      <c r="E53" s="4">
        <v>728</v>
      </c>
      <c r="F53" s="4"/>
      <c r="G53" s="4" t="s">
        <v>5</v>
      </c>
      <c r="H53" s="2">
        <f>$E53*$B$11+$B$10+'Станд.норм.распр.'!B46*$B$12+$B$2*'Станд.норм.распр.'!B45</f>
        <v>728.89943455855246</v>
      </c>
      <c r="I53" s="2">
        <f>$E53*$B$11+$B$10+'Станд.норм.распр.'!C46*$B$12+$B$2*'Станд.норм.распр.'!C45</f>
        <v>730.44820217226516</v>
      </c>
      <c r="J53" s="2">
        <f>$E53*$B$11+$B$10+'Станд.норм.распр.'!D46*$B$12+$B$2*'Станд.норм.распр.'!D45</f>
        <v>726.22103632646031</v>
      </c>
      <c r="K53" s="2">
        <f>$E53*$B$11+$B$10+'Станд.норм.распр.'!E46*$B$12+$B$2*'Станд.норм.распр.'!E45</f>
        <v>729.04277501627803</v>
      </c>
      <c r="L53" s="2">
        <f>$E53*$B$11+$B$10+'Станд.норм.распр.'!F46*$B$12+$B$2*'Станд.норм.распр.'!F45</f>
        <v>733.30587727148668</v>
      </c>
      <c r="M53" s="2">
        <f>$E53*$B$11+$B$10+'Станд.норм.распр.'!G46*$B$12+$B$2*'Станд.норм.распр.'!G45</f>
        <v>732.459774577801</v>
      </c>
      <c r="N53" s="2">
        <f>$E53*$B$11+$B$10+'Станд.норм.распр.'!H46*$B$12+$B$2*'Станд.норм.распр.'!H45</f>
        <v>730.42963233681803</v>
      </c>
      <c r="O53" s="2">
        <f>$E53*$B$11+$B$10+'Станд.норм.распр.'!I46*$B$12+$B$2*'Станд.норм.распр.'!I45</f>
        <v>731.14921795102418</v>
      </c>
      <c r="P53" s="2">
        <f>$E53*$B$11+$B$10+'Станд.норм.распр.'!J46*$B$12+$B$2*'Станд.норм.распр.'!J45</f>
        <v>726.8083543535613</v>
      </c>
      <c r="Q53" s="2">
        <f>$E53*$B$11+$B$10+'Станд.норм.распр.'!K46*$B$12+$B$2*'Станд.норм.распр.'!K45</f>
        <v>730.73340311246284</v>
      </c>
    </row>
    <row r="54" spans="3:17" x14ac:dyDescent="0.35">
      <c r="C54" s="4" t="s">
        <v>53</v>
      </c>
      <c r="D54" s="4" t="s">
        <v>5</v>
      </c>
      <c r="E54" s="4">
        <v>643</v>
      </c>
      <c r="F54" s="4"/>
      <c r="G54" s="4" t="s">
        <v>5</v>
      </c>
      <c r="H54" s="2">
        <f>$E54*$B$11+$B$10+'Станд.норм.распр.'!B47*$B$12+$B$2*'Станд.норм.распр.'!B46</f>
        <v>641.49684468749911</v>
      </c>
      <c r="I54" s="2">
        <f>$E54*$B$11+$B$10+'Станд.норм.распр.'!C47*$B$12+$B$2*'Станд.норм.распр.'!C46</f>
        <v>643.48760808163206</v>
      </c>
      <c r="J54" s="2">
        <f>$E54*$B$11+$B$10+'Станд.норм.распр.'!D47*$B$12+$B$2*'Станд.норм.распр.'!D46</f>
        <v>647.36024243349675</v>
      </c>
      <c r="K54" s="2">
        <f>$E54*$B$11+$B$10+'Станд.норм.распр.'!E47*$B$12+$B$2*'Станд.норм.распр.'!E46</f>
        <v>642.82528971081774</v>
      </c>
      <c r="L54" s="2">
        <f>$E54*$B$11+$B$10+'Станд.норм.распр.'!F47*$B$12+$B$2*'Станд.норм.распр.'!F46</f>
        <v>647.74684680334758</v>
      </c>
      <c r="M54" s="2">
        <f>$E54*$B$11+$B$10+'Станд.норм.распр.'!G47*$B$12+$B$2*'Станд.норм.распр.'!G46</f>
        <v>645.70702458287997</v>
      </c>
      <c r="N54" s="2">
        <f>$E54*$B$11+$B$10+'Станд.норм.распр.'!H47*$B$12+$B$2*'Станд.норм.распр.'!H46</f>
        <v>645.54502970670001</v>
      </c>
      <c r="O54" s="2">
        <f>$E54*$B$11+$B$10+'Станд.норм.распр.'!I47*$B$12+$B$2*'Станд.норм.распр.'!I46</f>
        <v>642.5067380546534</v>
      </c>
      <c r="P54" s="2">
        <f>$E54*$B$11+$B$10+'Станд.норм.распр.'!J47*$B$12+$B$2*'Станд.норм.распр.'!J46</f>
        <v>644.24924736660614</v>
      </c>
      <c r="Q54" s="2">
        <f>$E54*$B$11+$B$10+'Станд.норм.распр.'!K47*$B$12+$B$2*'Станд.норм.распр.'!K46</f>
        <v>642.54729628875793</v>
      </c>
    </row>
    <row r="55" spans="3:17" x14ac:dyDescent="0.35">
      <c r="C55" s="4" t="s">
        <v>54</v>
      </c>
      <c r="D55" s="4" t="s">
        <v>5</v>
      </c>
      <c r="E55" s="4">
        <v>847</v>
      </c>
      <c r="F55" s="4"/>
      <c r="G55" s="4" t="s">
        <v>5</v>
      </c>
      <c r="H55" s="2">
        <f>$E55*$B$11+$B$10+'Станд.норм.распр.'!B48*$B$12+$B$2*'Станд.норм.распр.'!B47</f>
        <v>846.36662948635058</v>
      </c>
      <c r="I55" s="2">
        <f>$E55*$B$11+$B$10+'Станд.норм.распр.'!C48*$B$12+$B$2*'Станд.норм.распр.'!C47</f>
        <v>850.27985981634993</v>
      </c>
      <c r="J55" s="2">
        <f>$E55*$B$11+$B$10+'Станд.норм.распр.'!D48*$B$12+$B$2*'Станд.норм.распр.'!D47</f>
        <v>846.66561086289585</v>
      </c>
      <c r="K55" s="2">
        <f>$E55*$B$11+$B$10+'Станд.норм.распр.'!E48*$B$12+$B$2*'Станд.норм.распр.'!E47</f>
        <v>851.47049160861934</v>
      </c>
      <c r="L55" s="2">
        <f>$E55*$B$11+$B$10+'Станд.норм.распр.'!F48*$B$12+$B$2*'Станд.норм.распр.'!F47</f>
        <v>850.27132943816832</v>
      </c>
      <c r="M55" s="2">
        <f>$E55*$B$11+$B$10+'Станд.норм.распр.'!G48*$B$12+$B$2*'Станд.норм.распр.'!G47</f>
        <v>844.92413723803475</v>
      </c>
      <c r="N55" s="2">
        <f>$E55*$B$11+$B$10+'Станд.норм.распр.'!H48*$B$12+$B$2*'Станд.норм.распр.'!H47</f>
        <v>851.54834299084905</v>
      </c>
      <c r="O55" s="2">
        <f>$E55*$B$11+$B$10+'Станд.норм.распр.'!I48*$B$12+$B$2*'Станд.норм.распр.'!I47</f>
        <v>850.32026889332337</v>
      </c>
      <c r="P55" s="2">
        <f>$E55*$B$11+$B$10+'Станд.норм.распр.'!J48*$B$12+$B$2*'Станд.норм.распр.'!J47</f>
        <v>851.04112188839645</v>
      </c>
      <c r="Q55" s="2">
        <f>$E55*$B$11+$B$10+'Станд.норм.распр.'!K48*$B$12+$B$2*'Станд.норм.распр.'!K47</f>
        <v>845.77262394470745</v>
      </c>
    </row>
    <row r="56" spans="3:17" x14ac:dyDescent="0.35">
      <c r="C56" s="4" t="s">
        <v>55</v>
      </c>
      <c r="D56" s="4" t="s">
        <v>5</v>
      </c>
      <c r="E56" s="4">
        <v>980</v>
      </c>
      <c r="F56" s="4"/>
      <c r="G56" s="4" t="s">
        <v>5</v>
      </c>
      <c r="H56" s="2">
        <f>$E56*$B$11+$B$10+'Станд.норм.распр.'!B49*$B$12+$B$2*'Станд.норм.распр.'!B48</f>
        <v>982.31335434869106</v>
      </c>
      <c r="I56" s="2">
        <f>$E56*$B$11+$B$10+'Станд.норм.распр.'!C49*$B$12+$B$2*'Станд.норм.распр.'!C48</f>
        <v>981.77296147335437</v>
      </c>
      <c r="J56" s="2">
        <f>$E56*$B$11+$B$10+'Станд.норм.распр.'!D49*$B$12+$B$2*'Станд.норм.распр.'!D48</f>
        <v>977.5769712869369</v>
      </c>
      <c r="K56" s="2">
        <f>$E56*$B$11+$B$10+'Станд.норм.распр.'!E49*$B$12+$B$2*'Станд.норм.распр.'!E48</f>
        <v>975.65774169746146</v>
      </c>
      <c r="L56" s="2">
        <f>$E56*$B$11+$B$10+'Станд.норм.распр.'!F49*$B$12+$B$2*'Станд.норм.распр.'!F48</f>
        <v>987.95369647271582</v>
      </c>
      <c r="M56" s="2">
        <f>$E56*$B$11+$B$10+'Станд.норм.распр.'!G49*$B$12+$B$2*'Станд.норм.распр.'!G48</f>
        <v>984.0370307538542</v>
      </c>
      <c r="N56" s="2">
        <f>$E56*$B$11+$B$10+'Станд.норм.распр.'!H49*$B$12+$B$2*'Станд.норм.распр.'!H48</f>
        <v>982.08253118721768</v>
      </c>
      <c r="O56" s="2">
        <f>$E56*$B$11+$B$10+'Станд.норм.распр.'!I49*$B$12+$B$2*'Станд.норм.распр.'!I48</f>
        <v>979.40358907729387</v>
      </c>
      <c r="P56" s="2">
        <f>$E56*$B$11+$B$10+'Станд.норм.распр.'!J49*$B$12+$B$2*'Станд.норм.распр.'!J48</f>
        <v>981.43264219837147</v>
      </c>
      <c r="Q56" s="2">
        <f>$E56*$B$11+$B$10+'Станд.норм.распр.'!K49*$B$12+$B$2*'Станд.норм.распр.'!K48</f>
        <v>977.86539661322604</v>
      </c>
    </row>
    <row r="57" spans="3:17" x14ac:dyDescent="0.35">
      <c r="C57" s="4" t="s">
        <v>56</v>
      </c>
      <c r="D57" s="4" t="s">
        <v>5</v>
      </c>
      <c r="E57" s="4">
        <v>337</v>
      </c>
      <c r="F57" s="4"/>
      <c r="G57" s="4" t="s">
        <v>5</v>
      </c>
      <c r="H57" s="2">
        <f>$E57*$B$11+$B$10+'Станд.норм.распр.'!B50*$B$12+$B$2*'Станд.норм.распр.'!B49</f>
        <v>339.82955170910282</v>
      </c>
      <c r="I57" s="2">
        <f>$E57*$B$11+$B$10+'Станд.норм.распр.'!C50*$B$12+$B$2*'Станд.норм.распр.'!C49</f>
        <v>336.62274524073291</v>
      </c>
      <c r="J57" s="2">
        <f>$E57*$B$11+$B$10+'Станд.норм.распр.'!D50*$B$12+$B$2*'Станд.норм.распр.'!D49</f>
        <v>337.70766532694688</v>
      </c>
      <c r="K57" s="2">
        <f>$E57*$B$11+$B$10+'Станд.норм.распр.'!E50*$B$12+$B$2*'Станд.норм.распр.'!E49</f>
        <v>341.57985720963916</v>
      </c>
      <c r="L57" s="2">
        <f>$E57*$B$11+$B$10+'Станд.норм.распр.'!F50*$B$12+$B$2*'Станд.норм.распр.'!F49</f>
        <v>339.82182850746904</v>
      </c>
      <c r="M57" s="2">
        <f>$E57*$B$11+$B$10+'Станд.норм.распр.'!G50*$B$12+$B$2*'Станд.норм.распр.'!G49</f>
        <v>339.04722869562102</v>
      </c>
      <c r="N57" s="2">
        <f>$E57*$B$11+$B$10+'Станд.норм.распр.'!H50*$B$12+$B$2*'Станд.норм.распр.'!H49</f>
        <v>344.54011103304219</v>
      </c>
      <c r="O57" s="2">
        <f>$E57*$B$11+$B$10+'Станд.норм.распр.'!I50*$B$12+$B$2*'Станд.норм.распр.'!I49</f>
        <v>340.73549142346019</v>
      </c>
      <c r="P57" s="2">
        <f>$E57*$B$11+$B$10+'Станд.норм.распр.'!J50*$B$12+$B$2*'Станд.норм.распр.'!J49</f>
        <v>340.29347517940914</v>
      </c>
      <c r="Q57" s="2">
        <f>$E57*$B$11+$B$10+'Станд.норм.распр.'!K50*$B$12+$B$2*'Станд.норм.распр.'!K49</f>
        <v>337.53850908948516</v>
      </c>
    </row>
    <row r="58" spans="3:17" x14ac:dyDescent="0.35">
      <c r="C58" s="4" t="s">
        <v>57</v>
      </c>
      <c r="D58" s="4" t="s">
        <v>5</v>
      </c>
      <c r="E58" s="4">
        <v>972</v>
      </c>
      <c r="F58" s="4"/>
      <c r="G58" s="4" t="s">
        <v>5</v>
      </c>
      <c r="H58" s="2">
        <f>$E58*$B$11+$B$10+'Станд.норм.распр.'!B51*$B$12+$B$2*'Станд.норм.распр.'!B50</f>
        <v>979.14085240865825</v>
      </c>
      <c r="I58" s="2">
        <f>$E58*$B$11+$B$10+'Станд.норм.распр.'!C51*$B$12+$B$2*'Станд.норм.распр.'!C50</f>
        <v>975.44440878102614</v>
      </c>
      <c r="J58" s="2">
        <f>$E58*$B$11+$B$10+'Станд.норм.распр.'!D51*$B$12+$B$2*'Станд.норм.распр.'!D50</f>
        <v>978.4829157559434</v>
      </c>
      <c r="K58" s="2">
        <f>$E58*$B$11+$B$10+'Станд.норм.распр.'!E51*$B$12+$B$2*'Станд.норм.распр.'!E50</f>
        <v>974.17292089370312</v>
      </c>
      <c r="L58" s="2">
        <f>$E58*$B$11+$B$10+'Станд.норм.распр.'!F51*$B$12+$B$2*'Станд.норм.распр.'!F50</f>
        <v>970.01480885758065</v>
      </c>
      <c r="M58" s="2">
        <f>$E58*$B$11+$B$10+'Станд.норм.распр.'!G51*$B$12+$B$2*'Станд.норм.распр.'!G50</f>
        <v>969.83277030978934</v>
      </c>
      <c r="N58" s="2">
        <f>$E58*$B$11+$B$10+'Станд.норм.распр.'!H51*$B$12+$B$2*'Станд.норм.распр.'!H50</f>
        <v>973.00454554335738</v>
      </c>
      <c r="O58" s="2">
        <f>$E58*$B$11+$B$10+'Станд.норм.распр.'!I51*$B$12+$B$2*'Станд.норм.распр.'!I50</f>
        <v>974.35245375329396</v>
      </c>
      <c r="P58" s="2">
        <f>$E58*$B$11+$B$10+'Станд.норм.распр.'!J51*$B$12+$B$2*'Станд.норм.распр.'!J50</f>
        <v>972.97938391768548</v>
      </c>
      <c r="Q58" s="2">
        <f>$E58*$B$11+$B$10+'Станд.норм.распр.'!K51*$B$12+$B$2*'Станд.норм.распр.'!K50</f>
        <v>973.75000423546589</v>
      </c>
    </row>
    <row r="59" spans="3:17" x14ac:dyDescent="0.35">
      <c r="C59" s="4" t="s">
        <v>58</v>
      </c>
      <c r="D59" s="4" t="s">
        <v>5</v>
      </c>
      <c r="E59" s="4">
        <v>174</v>
      </c>
      <c r="F59" s="4"/>
      <c r="G59" s="4" t="s">
        <v>5</v>
      </c>
      <c r="H59" s="2">
        <f>$E59*$B$11+$B$10+'Станд.норм.распр.'!B52*$B$12+$B$2*'Станд.норм.распр.'!B51</f>
        <v>177.73701346284361</v>
      </c>
      <c r="I59" s="2">
        <f>$E59*$B$11+$B$10+'Станд.норм.распр.'!C52*$B$12+$B$2*'Станд.норм.распр.'!C51</f>
        <v>174.35422545402253</v>
      </c>
      <c r="J59" s="2">
        <f>$E59*$B$11+$B$10+'Станд.норм.распр.'!D52*$B$12+$B$2*'Станд.норм.распр.'!D51</f>
        <v>179.16525756716146</v>
      </c>
      <c r="K59" s="2">
        <f>$E59*$B$11+$B$10+'Станд.норм.распр.'!E52*$B$12+$B$2*'Станд.норм.распр.'!E51</f>
        <v>172.87858717354248</v>
      </c>
      <c r="L59" s="2">
        <f>$E59*$B$11+$B$10+'Станд.норм.распр.'!F52*$B$12+$B$2*'Станд.норм.распр.'!F51</f>
        <v>172.26356566295726</v>
      </c>
      <c r="M59" s="2">
        <f>$E59*$B$11+$B$10+'Станд.норм.распр.'!G52*$B$12+$B$2*'Станд.норм.распр.'!G51</f>
        <v>174.91017500885937</v>
      </c>
      <c r="N59" s="2">
        <f>$E59*$B$11+$B$10+'Станд.норм.распр.'!H52*$B$12+$B$2*'Станд.норм.распр.'!H51</f>
        <v>171.12819317715184</v>
      </c>
      <c r="O59" s="2">
        <f>$E59*$B$11+$B$10+'Станд.норм.распр.'!I52*$B$12+$B$2*'Станд.норм.распр.'!I51</f>
        <v>176.89505738287698</v>
      </c>
      <c r="P59" s="2">
        <f>$E59*$B$11+$B$10+'Станд.норм.распр.'!J52*$B$12+$B$2*'Станд.норм.распр.'!J51</f>
        <v>177.93702577841756</v>
      </c>
      <c r="Q59" s="2">
        <f>$E59*$B$11+$B$10+'Станд.норм.распр.'!K52*$B$12+$B$2*'Станд.норм.распр.'!K51</f>
        <v>176.99582302937051</v>
      </c>
    </row>
    <row r="60" spans="3:17" x14ac:dyDescent="0.35">
      <c r="C60" s="4" t="s">
        <v>59</v>
      </c>
      <c r="D60" s="4" t="s">
        <v>5</v>
      </c>
      <c r="E60" s="4">
        <v>227</v>
      </c>
      <c r="F60" s="4"/>
      <c r="G60" s="4" t="s">
        <v>5</v>
      </c>
      <c r="H60" s="2">
        <f>$E60*$B$11+$B$10+'Станд.норм.распр.'!B53*$B$12+$B$2*'Станд.норм.распр.'!B52</f>
        <v>224.62330458502402</v>
      </c>
      <c r="I60" s="2">
        <f>$E60*$B$11+$B$10+'Станд.норм.распр.'!C53*$B$12+$B$2*'Станд.норм.распр.'!C52</f>
        <v>234.15304009240936</v>
      </c>
      <c r="J60" s="2">
        <f>$E60*$B$11+$B$10+'Станд.норм.распр.'!D53*$B$12+$B$2*'Станд.норм.распр.'!D52</f>
        <v>225.8203865137184</v>
      </c>
      <c r="K60" s="2">
        <f>$E60*$B$11+$B$10+'Станд.норм.распр.'!E53*$B$12+$B$2*'Станд.норм.распр.'!E52</f>
        <v>230.44161049320246</v>
      </c>
      <c r="L60" s="2">
        <f>$E60*$B$11+$B$10+'Станд.норм.распр.'!F53*$B$12+$B$2*'Станд.норм.распр.'!F52</f>
        <v>226.30406989328912</v>
      </c>
      <c r="M60" s="2">
        <f>$E60*$B$11+$B$10+'Станд.норм.распр.'!G53*$B$12+$B$2*'Станд.норм.распр.'!G52</f>
        <v>232.95238134842657</v>
      </c>
      <c r="N60" s="2">
        <f>$E60*$B$11+$B$10+'Станд.норм.распр.'!H53*$B$12+$B$2*'Станд.норм.распр.'!H52</f>
        <v>227.99240970080427</v>
      </c>
      <c r="O60" s="2">
        <f>$E60*$B$11+$B$10+'Станд.норм.распр.'!I53*$B$12+$B$2*'Станд.норм.распр.'!I52</f>
        <v>222.86812305601779</v>
      </c>
      <c r="P60" s="2">
        <f>$E60*$B$11+$B$10+'Станд.норм.распр.'!J53*$B$12+$B$2*'Станд.норм.распр.'!J52</f>
        <v>228.88051711120062</v>
      </c>
      <c r="Q60" s="2">
        <f>$E60*$B$11+$B$10+'Станд.норм.распр.'!K53*$B$12+$B$2*'Станд.норм.распр.'!K52</f>
        <v>228.47664537103265</v>
      </c>
    </row>
    <row r="61" spans="3:17" x14ac:dyDescent="0.35">
      <c r="C61" s="4" t="s">
        <v>60</v>
      </c>
      <c r="D61" s="4" t="s">
        <v>5</v>
      </c>
      <c r="E61" s="4">
        <v>271</v>
      </c>
      <c r="F61" s="4"/>
      <c r="G61" s="4" t="s">
        <v>5</v>
      </c>
      <c r="H61" s="2">
        <f>$E61*$B$11+$B$10+'Станд.норм.распр.'!B54*$B$12+$B$2*'Станд.норм.распр.'!B53</f>
        <v>267.98389934160514</v>
      </c>
      <c r="I61" s="2">
        <f>$E61*$B$11+$B$10+'Станд.норм.распр.'!C54*$B$12+$B$2*'Станд.норм.распр.'!C53</f>
        <v>274.26331065075647</v>
      </c>
      <c r="J61" s="2">
        <f>$E61*$B$11+$B$10+'Станд.норм.распр.'!D54*$B$12+$B$2*'Станд.норм.распр.'!D53</f>
        <v>272.48926551951445</v>
      </c>
      <c r="K61" s="2">
        <f>$E61*$B$11+$B$10+'Станд.норм.распр.'!E54*$B$12+$B$2*'Станд.норм.распр.'!E53</f>
        <v>276.80880055672606</v>
      </c>
      <c r="L61" s="2">
        <f>$E61*$B$11+$B$10+'Станд.норм.распр.'!F54*$B$12+$B$2*'Станд.норм.распр.'!F53</f>
        <v>274.10608084469277</v>
      </c>
      <c r="M61" s="2">
        <f>$E61*$B$11+$B$10+'Станд.норм.распр.'!G54*$B$12+$B$2*'Станд.норм.распр.'!G53</f>
        <v>271.38525059203675</v>
      </c>
      <c r="N61" s="2">
        <f>$E61*$B$11+$B$10+'Станд.норм.распр.'!H54*$B$12+$B$2*'Станд.норм.распр.'!H53</f>
        <v>271.84802286942431</v>
      </c>
      <c r="O61" s="2">
        <f>$E61*$B$11+$B$10+'Станд.норм.распр.'!I54*$B$12+$B$2*'Станд.норм.распр.'!I53</f>
        <v>270.09842131778714</v>
      </c>
      <c r="P61" s="2">
        <f>$E61*$B$11+$B$10+'Станд.норм.распр.'!J54*$B$12+$B$2*'Станд.норм.распр.'!J53</f>
        <v>275.30888372243498</v>
      </c>
      <c r="Q61" s="2">
        <f>$E61*$B$11+$B$10+'Станд.норм.распр.'!K54*$B$12+$B$2*'Станд.норм.распр.'!K53</f>
        <v>271.37757139478344</v>
      </c>
    </row>
    <row r="62" spans="3:17" x14ac:dyDescent="0.35">
      <c r="C62" s="4" t="s">
        <v>61</v>
      </c>
      <c r="D62" s="4" t="s">
        <v>5</v>
      </c>
      <c r="E62" s="4">
        <v>323</v>
      </c>
      <c r="F62" s="4"/>
      <c r="G62" s="4" t="s">
        <v>5</v>
      </c>
      <c r="H62" s="2">
        <f>$E62*$B$11+$B$10+'Станд.норм.распр.'!B55*$B$12+$B$2*'Станд.норм.распр.'!B54</f>
        <v>325.41799603422987</v>
      </c>
      <c r="I62" s="2">
        <f>$E62*$B$11+$B$10+'Станд.норм.распр.'!C55*$B$12+$B$2*'Станд.норм.распр.'!C54</f>
        <v>322.97881559970847</v>
      </c>
      <c r="J62" s="2">
        <f>$E62*$B$11+$B$10+'Станд.норм.распр.'!D55*$B$12+$B$2*'Станд.норм.распр.'!D54</f>
        <v>326.61132265930064</v>
      </c>
      <c r="K62" s="2">
        <f>$E62*$B$11+$B$10+'Станд.норм.распр.'!E55*$B$12+$B$2*'Станд.норм.распр.'!E54</f>
        <v>326.11301187644131</v>
      </c>
      <c r="L62" s="2">
        <f>$E62*$B$11+$B$10+'Станд.норм.распр.'!F55*$B$12+$B$2*'Станд.норм.распр.'!F54</f>
        <v>329.48206787950767</v>
      </c>
      <c r="M62" s="2">
        <f>$E62*$B$11+$B$10+'Станд.норм.распр.'!G55*$B$12+$B$2*'Станд.норм.распр.'!G54</f>
        <v>322.84105170874682</v>
      </c>
      <c r="N62" s="2">
        <f>$E62*$B$11+$B$10+'Станд.норм.распр.'!H55*$B$12+$B$2*'Станд.норм.распр.'!H54</f>
        <v>319.90781692657038</v>
      </c>
      <c r="O62" s="2">
        <f>$E62*$B$11+$B$10+'Станд.норм.распр.'!I55*$B$12+$B$2*'Станд.норм.распр.'!I54</f>
        <v>327.66718279817724</v>
      </c>
      <c r="P62" s="2">
        <f>$E62*$B$11+$B$10+'Станд.норм.распр.'!J55*$B$12+$B$2*'Станд.норм.распр.'!J54</f>
        <v>324.8710854924866</v>
      </c>
      <c r="Q62" s="2">
        <f>$E62*$B$11+$B$10+'Станд.норм.распр.'!K55*$B$12+$B$2*'Станд.норм.распр.'!K54</f>
        <v>323.21436433699563</v>
      </c>
    </row>
    <row r="63" spans="3:17" x14ac:dyDescent="0.35">
      <c r="C63" s="4" t="s">
        <v>62</v>
      </c>
      <c r="D63" s="4" t="s">
        <v>5</v>
      </c>
      <c r="E63" s="4">
        <v>383</v>
      </c>
      <c r="F63" s="4"/>
      <c r="G63" s="4" t="s">
        <v>5</v>
      </c>
      <c r="H63" s="2">
        <f>$E63*$B$11+$B$10+'Станд.норм.распр.'!B56*$B$12+$B$2*'Станд.норм.распр.'!B55</f>
        <v>379.36417556353263</v>
      </c>
      <c r="I63" s="2">
        <f>$E63*$B$11+$B$10+'Станд.норм.распр.'!C56*$B$12+$B$2*'Станд.норм.распр.'!C55</f>
        <v>389.72125884698471</v>
      </c>
      <c r="J63" s="2">
        <f>$E63*$B$11+$B$10+'Станд.норм.распр.'!D56*$B$12+$B$2*'Станд.норм.распр.'!D55</f>
        <v>389.76611967314966</v>
      </c>
      <c r="K63" s="2">
        <f>$E63*$B$11+$B$10+'Станд.норм.распр.'!E56*$B$12+$B$2*'Станд.норм.распр.'!E55</f>
        <v>385.65036442720157</v>
      </c>
      <c r="L63" s="2">
        <f>$E63*$B$11+$B$10+'Станд.норм.распр.'!F56*$B$12+$B$2*'Станд.норм.распр.'!F55</f>
        <v>385.00204613570531</v>
      </c>
      <c r="M63" s="2">
        <f>$E63*$B$11+$B$10+'Станд.норм.распр.'!G56*$B$12+$B$2*'Станд.норм.распр.'!G55</f>
        <v>383.72539751777367</v>
      </c>
      <c r="N63" s="2">
        <f>$E63*$B$11+$B$10+'Станд.норм.распр.'!H56*$B$12+$B$2*'Станд.норм.распр.'!H55</f>
        <v>382.24392773714499</v>
      </c>
      <c r="O63" s="2">
        <f>$E63*$B$11+$B$10+'Станд.норм.распр.'!I56*$B$12+$B$2*'Станд.норм.распр.'!I55</f>
        <v>388.09890447169892</v>
      </c>
      <c r="P63" s="2">
        <f>$E63*$B$11+$B$10+'Станд.норм.распр.'!J56*$B$12+$B$2*'Станд.норм.распр.'!J55</f>
        <v>384.71070337778656</v>
      </c>
      <c r="Q63" s="2">
        <f>$E63*$B$11+$B$10+'Станд.норм.распр.'!K56*$B$12+$B$2*'Станд.норм.распр.'!K55</f>
        <v>381.17685944031109</v>
      </c>
    </row>
    <row r="64" spans="3:17" x14ac:dyDescent="0.35">
      <c r="C64" s="4" t="s">
        <v>63</v>
      </c>
      <c r="D64" s="4" t="s">
        <v>5</v>
      </c>
      <c r="E64" s="4">
        <v>294</v>
      </c>
      <c r="F64" s="4"/>
      <c r="G64" s="4" t="s">
        <v>5</v>
      </c>
      <c r="H64" s="2">
        <f>$E64*$B$11+$B$10+'Станд.норм.распр.'!B57*$B$12+$B$2*'Станд.норм.распр.'!B56</f>
        <v>294.63375478525995</v>
      </c>
      <c r="I64" s="2">
        <f>$E64*$B$11+$B$10+'Станд.норм.распр.'!C57*$B$12+$B$2*'Станд.норм.распр.'!C56</f>
        <v>296.06377467798302</v>
      </c>
      <c r="J64" s="2">
        <f>$E64*$B$11+$B$10+'Станд.норм.распр.'!D57*$B$12+$B$2*'Станд.норм.распр.'!D56</f>
        <v>298.73454861599021</v>
      </c>
      <c r="K64" s="2">
        <f>$E64*$B$11+$B$10+'Станд.норм.распр.'!E57*$B$12+$B$2*'Станд.норм.распр.'!E56</f>
        <v>301.49532910554262</v>
      </c>
      <c r="L64" s="2">
        <f>$E64*$B$11+$B$10+'Станд.норм.распр.'!F57*$B$12+$B$2*'Станд.норм.распр.'!F56</f>
        <v>297.10976884570846</v>
      </c>
      <c r="M64" s="2">
        <f>$E64*$B$11+$B$10+'Станд.норм.распр.'!G57*$B$12+$B$2*'Станд.норм.распр.'!G56</f>
        <v>297.93365417544555</v>
      </c>
      <c r="N64" s="2">
        <f>$E64*$B$11+$B$10+'Станд.норм.распр.'!H57*$B$12+$B$2*'Станд.норм.распр.'!H56</f>
        <v>295.70848081525764</v>
      </c>
      <c r="O64" s="2">
        <f>$E64*$B$11+$B$10+'Станд.норм.распр.'!I57*$B$12+$B$2*'Станд.норм.распр.'!I56</f>
        <v>295.90012383932481</v>
      </c>
      <c r="P64" s="2">
        <f>$E64*$B$11+$B$10+'Станд.норм.распр.'!J57*$B$12+$B$2*'Станд.норм.распр.'!J56</f>
        <v>294.23198493989184</v>
      </c>
      <c r="Q64" s="2">
        <f>$E64*$B$11+$B$10+'Станд.норм.распр.'!K57*$B$12+$B$2*'Станд.норм.распр.'!K56</f>
        <v>298.85367696051253</v>
      </c>
    </row>
    <row r="65" spans="3:17" x14ac:dyDescent="0.35">
      <c r="C65" s="4" t="s">
        <v>64</v>
      </c>
      <c r="D65" s="4" t="s">
        <v>5</v>
      </c>
      <c r="E65" s="4">
        <v>331</v>
      </c>
      <c r="F65" s="4"/>
      <c r="G65" s="4" t="s">
        <v>5</v>
      </c>
      <c r="H65" s="2">
        <f>$E65*$B$11+$B$10+'Станд.норм.распр.'!B58*$B$12+$B$2*'Станд.норм.распр.'!B57</f>
        <v>333.47608637032681</v>
      </c>
      <c r="I65" s="2">
        <f>$E65*$B$11+$B$10+'Станд.норм.распр.'!C58*$B$12+$B$2*'Станд.норм.распр.'!C57</f>
        <v>332.59522028802894</v>
      </c>
      <c r="J65" s="2">
        <f>$E65*$B$11+$B$10+'Станд.норм.распр.'!D58*$B$12+$B$2*'Станд.норм.распр.'!D57</f>
        <v>335.05464630198549</v>
      </c>
      <c r="K65" s="2">
        <f>$E65*$B$11+$B$10+'Станд.норм.распр.'!E58*$B$12+$B$2*'Станд.норм.распр.'!E57</f>
        <v>332.82345093485492</v>
      </c>
      <c r="L65" s="2">
        <f>$E65*$B$11+$B$10+'Станд.норм.распр.'!F58*$B$12+$B$2*'Станд.норм.распр.'!F57</f>
        <v>338.02709508509724</v>
      </c>
      <c r="M65" s="2">
        <f>$E65*$B$11+$B$10+'Станд.норм.распр.'!G58*$B$12+$B$2*'Станд.норм.распр.'!G57</f>
        <v>331.86081764088885</v>
      </c>
      <c r="N65" s="2">
        <f>$E65*$B$11+$B$10+'Станд.норм.распр.'!H58*$B$12+$B$2*'Станд.норм.распр.'!H57</f>
        <v>330.20590008210854</v>
      </c>
      <c r="O65" s="2">
        <f>$E65*$B$11+$B$10+'Станд.норм.распр.'!I58*$B$12+$B$2*'Станд.норм.распр.'!I57</f>
        <v>331.34202844795072</v>
      </c>
      <c r="P65" s="2">
        <f>$E65*$B$11+$B$10+'Станд.норм.распр.'!J58*$B$12+$B$2*'Станд.норм.распр.'!J57</f>
        <v>335.17455801753675</v>
      </c>
      <c r="Q65" s="2">
        <f>$E65*$B$11+$B$10+'Станд.норм.распр.'!K58*$B$12+$B$2*'Станд.норм.распр.'!K57</f>
        <v>332.97667327988893</v>
      </c>
    </row>
    <row r="66" spans="3:17" x14ac:dyDescent="0.35">
      <c r="C66" s="4" t="s">
        <v>65</v>
      </c>
      <c r="D66" s="4" t="s">
        <v>5</v>
      </c>
      <c r="E66" s="4">
        <v>908</v>
      </c>
      <c r="F66" s="4"/>
      <c r="G66" s="4" t="s">
        <v>5</v>
      </c>
      <c r="H66" s="2">
        <f>$E66*$B$11+$B$10+'Станд.норм.распр.'!B59*$B$12+$B$2*'Станд.норм.распр.'!B58</f>
        <v>908.89659602558822</v>
      </c>
      <c r="I66" s="2">
        <f>$E66*$B$11+$B$10+'Станд.норм.распр.'!C59*$B$12+$B$2*'Станд.норм.распр.'!C58</f>
        <v>906.40300848113839</v>
      </c>
      <c r="J66" s="2">
        <f>$E66*$B$11+$B$10+'Станд.норм.распр.'!D59*$B$12+$B$2*'Станд.норм.распр.'!D58</f>
        <v>909.84085457072069</v>
      </c>
      <c r="K66" s="2">
        <f>$E66*$B$11+$B$10+'Станд.норм.распр.'!E59*$B$12+$B$2*'Станд.норм.распр.'!E58</f>
        <v>908.03946957399603</v>
      </c>
      <c r="L66" s="2">
        <f>$E66*$B$11+$B$10+'Станд.норм.распр.'!F59*$B$12+$B$2*'Станд.норм.распр.'!F58</f>
        <v>908.9921270753257</v>
      </c>
      <c r="M66" s="2">
        <f>$E66*$B$11+$B$10+'Станд.норм.распр.'!G59*$B$12+$B$2*'Станд.норм.распр.'!G58</f>
        <v>905.3217200072686</v>
      </c>
      <c r="N66" s="2">
        <f>$E66*$B$11+$B$10+'Станд.норм.распр.'!H59*$B$12+$B$2*'Станд.норм.распр.'!H58</f>
        <v>917.04162266629282</v>
      </c>
      <c r="O66" s="2">
        <f>$E66*$B$11+$B$10+'Станд.норм.распр.'!I59*$B$12+$B$2*'Станд.норм.распр.'!I58</f>
        <v>907.41515284767956</v>
      </c>
      <c r="P66" s="2">
        <f>$E66*$B$11+$B$10+'Станд.норм.распр.'!J59*$B$12+$B$2*'Станд.норм.распр.'!J58</f>
        <v>912.10128837352386</v>
      </c>
      <c r="Q66" s="2">
        <f>$E66*$B$11+$B$10+'Станд.норм.распр.'!K59*$B$12+$B$2*'Станд.норм.распр.'!K58</f>
        <v>907.72007504361682</v>
      </c>
    </row>
    <row r="67" spans="3:17" x14ac:dyDescent="0.35">
      <c r="C67" s="4" t="s">
        <v>66</v>
      </c>
      <c r="D67" s="4" t="s">
        <v>5</v>
      </c>
      <c r="E67" s="4">
        <v>152</v>
      </c>
      <c r="F67" s="4"/>
      <c r="G67" s="4" t="s">
        <v>5</v>
      </c>
      <c r="H67" s="2">
        <f>$E67*$B$11+$B$10+'Станд.норм.распр.'!B60*$B$12+$B$2*'Станд.норм.распр.'!B59</f>
        <v>151.1583170008671</v>
      </c>
      <c r="I67" s="2">
        <f>$E67*$B$11+$B$10+'Станд.норм.распр.'!C60*$B$12+$B$2*'Станд.норм.распр.'!C59</f>
        <v>149.29760407313006</v>
      </c>
      <c r="J67" s="2">
        <f>$E67*$B$11+$B$10+'Станд.норм.распр.'!D60*$B$12+$B$2*'Станд.норм.распр.'!D59</f>
        <v>158.34371372648457</v>
      </c>
      <c r="K67" s="2">
        <f>$E67*$B$11+$B$10+'Станд.норм.распр.'!E60*$B$12+$B$2*'Станд.норм.распр.'!E59</f>
        <v>152.42842657926667</v>
      </c>
      <c r="L67" s="2">
        <f>$E67*$B$11+$B$10+'Станд.норм.распр.'!F60*$B$12+$B$2*'Станд.норм.распр.'!F59</f>
        <v>151.63031291877269</v>
      </c>
      <c r="M67" s="2">
        <f>$E67*$B$11+$B$10+'Станд.норм.распр.'!G60*$B$12+$B$2*'Станд.норм.распр.'!G59</f>
        <v>153.40681163934642</v>
      </c>
      <c r="N67" s="2">
        <f>$E67*$B$11+$B$10+'Станд.норм.распр.'!H60*$B$12+$B$2*'Станд.норм.распр.'!H59</f>
        <v>152.54872192675248</v>
      </c>
      <c r="O67" s="2">
        <f>$E67*$B$11+$B$10+'Станд.норм.распр.'!I60*$B$12+$B$2*'Станд.норм.распр.'!I59</f>
        <v>150.23048097419087</v>
      </c>
      <c r="P67" s="2">
        <f>$E67*$B$11+$B$10+'Станд.норм.распр.'!J60*$B$12+$B$2*'Станд.норм.распр.'!J59</f>
        <v>150.28540035701008</v>
      </c>
      <c r="Q67" s="2">
        <f>$E67*$B$11+$B$10+'Станд.норм.распр.'!K60*$B$12+$B$2*'Станд.норм.распр.'!K59</f>
        <v>150.94156849727733</v>
      </c>
    </row>
    <row r="68" spans="3:17" x14ac:dyDescent="0.35">
      <c r="C68" s="4" t="s">
        <v>67</v>
      </c>
      <c r="D68" s="4" t="s">
        <v>5</v>
      </c>
      <c r="E68" s="4">
        <v>593</v>
      </c>
      <c r="F68" s="4"/>
      <c r="G68" s="4" t="s">
        <v>5</v>
      </c>
      <c r="H68" s="2">
        <f>$E68*$B$11+$B$10+'Станд.норм.распр.'!B61*$B$12+$B$2*'Станд.норм.распр.'!B60</f>
        <v>596.89264005712175</v>
      </c>
      <c r="I68" s="2">
        <f>$E68*$B$11+$B$10+'Станд.норм.распр.'!C61*$B$12+$B$2*'Станд.норм.распр.'!C60</f>
        <v>594.05467757344013</v>
      </c>
      <c r="J68" s="2">
        <f>$E68*$B$11+$B$10+'Станд.норм.распр.'!D61*$B$12+$B$2*'Станд.норм.распр.'!D60</f>
        <v>591.57379430573201</v>
      </c>
      <c r="K68" s="2">
        <f>$E68*$B$11+$B$10+'Станд.норм.распр.'!E61*$B$12+$B$2*'Станд.норм.распр.'!E60</f>
        <v>593.79576489547617</v>
      </c>
      <c r="L68" s="2">
        <f>$E68*$B$11+$B$10+'Станд.норм.распр.'!F61*$B$12+$B$2*'Станд.норм.распр.'!F60</f>
        <v>593.02581419316994</v>
      </c>
      <c r="M68" s="2">
        <f>$E68*$B$11+$B$10+'Станд.норм.распр.'!G61*$B$12+$B$2*'Станд.норм.распр.'!G60</f>
        <v>598.55810288965586</v>
      </c>
      <c r="N68" s="2">
        <f>$E68*$B$11+$B$10+'Станд.норм.распр.'!H61*$B$12+$B$2*'Станд.норм.распр.'!H60</f>
        <v>597.37720526052294</v>
      </c>
      <c r="O68" s="2">
        <f>$E68*$B$11+$B$10+'Станд.норм.распр.'!I61*$B$12+$B$2*'Станд.норм.распр.'!I60</f>
        <v>593.55875921639381</v>
      </c>
      <c r="P68" s="2">
        <f>$E68*$B$11+$B$10+'Станд.норм.распр.'!J61*$B$12+$B$2*'Станд.норм.распр.'!J60</f>
        <v>598.18581214742153</v>
      </c>
      <c r="Q68" s="2">
        <f>$E68*$B$11+$B$10+'Станд.норм.распр.'!K61*$B$12+$B$2*'Станд.норм.распр.'!K60</f>
        <v>592.86507567780791</v>
      </c>
    </row>
    <row r="69" spans="3:17" x14ac:dyDescent="0.35">
      <c r="C69" s="4" t="s">
        <v>68</v>
      </c>
      <c r="D69" s="4" t="s">
        <v>5</v>
      </c>
      <c r="E69" s="4">
        <v>392</v>
      </c>
      <c r="F69" s="4"/>
      <c r="G69" s="4" t="s">
        <v>5</v>
      </c>
      <c r="H69" s="2">
        <f>$E69*$B$11+$B$10+'Станд.норм.распр.'!B62*$B$12+$B$2*'Станд.норм.распр.'!B61</f>
        <v>395.54961958287458</v>
      </c>
      <c r="I69" s="2">
        <f>$E69*$B$11+$B$10+'Станд.норм.распр.'!C62*$B$12+$B$2*'Станд.норм.распр.'!C61</f>
        <v>389.4218201310141</v>
      </c>
      <c r="J69" s="2">
        <f>$E69*$B$11+$B$10+'Станд.норм.распр.'!D62*$B$12+$B$2*'Станд.норм.распр.'!D61</f>
        <v>396.53762391366763</v>
      </c>
      <c r="K69" s="2">
        <f>$E69*$B$11+$B$10+'Станд.норм.распр.'!E62*$B$12+$B$2*'Станд.норм.распр.'!E61</f>
        <v>394.29690590963583</v>
      </c>
      <c r="L69" s="2">
        <f>$E69*$B$11+$B$10+'Станд.норм.распр.'!F62*$B$12+$B$2*'Станд.норм.распр.'!F61</f>
        <v>396.38179369868885</v>
      </c>
      <c r="M69" s="2">
        <f>$E69*$B$11+$B$10+'Станд.норм.распр.'!G62*$B$12+$B$2*'Станд.норм.распр.'!G61</f>
        <v>391.49794505987666</v>
      </c>
      <c r="N69" s="2">
        <f>$E69*$B$11+$B$10+'Станд.норм.распр.'!H62*$B$12+$B$2*'Станд.норм.распр.'!H61</f>
        <v>400.41066208117991</v>
      </c>
      <c r="O69" s="2">
        <f>$E69*$B$11+$B$10+'Станд.норм.распр.'!I62*$B$12+$B$2*'Станд.норм.распр.'!I61</f>
        <v>394.48938886720862</v>
      </c>
      <c r="P69" s="2">
        <f>$E69*$B$11+$B$10+'Станд.норм.распр.'!J62*$B$12+$B$2*'Станд.норм.распр.'!J61</f>
        <v>395.77459423866821</v>
      </c>
      <c r="Q69" s="2">
        <f>$E69*$B$11+$B$10+'Станд.норм.распр.'!K62*$B$12+$B$2*'Станд.норм.распр.'!K61</f>
        <v>396.22937508220201</v>
      </c>
    </row>
    <row r="70" spans="3:17" x14ac:dyDescent="0.35">
      <c r="C70" s="4" t="s">
        <v>69</v>
      </c>
      <c r="D70" s="4" t="s">
        <v>5</v>
      </c>
      <c r="E70" s="4">
        <v>407</v>
      </c>
      <c r="F70" s="4"/>
      <c r="G70" s="4" t="s">
        <v>5</v>
      </c>
      <c r="H70" s="2">
        <f>$E70*$B$11+$B$10+'Станд.норм.распр.'!B63*$B$12+$B$2*'Станд.норм.распр.'!B62</f>
        <v>414.20900221090415</v>
      </c>
      <c r="I70" s="2">
        <f>$E70*$B$11+$B$10+'Станд.норм.распр.'!C63*$B$12+$B$2*'Станд.норм.распр.'!C62</f>
        <v>410.04733180705807</v>
      </c>
      <c r="J70" s="2">
        <f>$E70*$B$11+$B$10+'Станд.норм.распр.'!D63*$B$12+$B$2*'Станд.норм.распр.'!D62</f>
        <v>408.82024201017339</v>
      </c>
      <c r="K70" s="2">
        <f>$E70*$B$11+$B$10+'Станд.норм.распр.'!E63*$B$12+$B$2*'Станд.норм.распр.'!E62</f>
        <v>410.91607955457584</v>
      </c>
      <c r="L70" s="2">
        <f>$E70*$B$11+$B$10+'Станд.норм.распр.'!F63*$B$12+$B$2*'Станд.норм.распр.'!F62</f>
        <v>410.95383715840291</v>
      </c>
      <c r="M70" s="2">
        <f>$E70*$B$11+$B$10+'Станд.норм.распр.'!G63*$B$12+$B$2*'Станд.норм.распр.'!G62</f>
        <v>411.9506682039937</v>
      </c>
      <c r="N70" s="2">
        <f>$E70*$B$11+$B$10+'Станд.норм.распр.'!H63*$B$12+$B$2*'Станд.норм.распр.'!H62</f>
        <v>404.87042111670598</v>
      </c>
      <c r="O70" s="2">
        <f>$E70*$B$11+$B$10+'Станд.норм.распр.'!I63*$B$12+$B$2*'Станд.норм.распр.'!I62</f>
        <v>406.74796719975711</v>
      </c>
      <c r="P70" s="2">
        <f>$E70*$B$11+$B$10+'Станд.норм.распр.'!J63*$B$12+$B$2*'Станд.норм.распр.'!J62</f>
        <v>406.79237759867101</v>
      </c>
      <c r="Q70" s="2">
        <f>$E70*$B$11+$B$10+'Станд.норм.распр.'!K63*$B$12+$B$2*'Станд.норм.распр.'!K62</f>
        <v>408.47497758512327</v>
      </c>
    </row>
    <row r="71" spans="3:17" x14ac:dyDescent="0.35">
      <c r="C71" s="4" t="s">
        <v>70</v>
      </c>
      <c r="D71" s="4" t="s">
        <v>5</v>
      </c>
      <c r="E71" s="4">
        <v>211</v>
      </c>
      <c r="F71" s="4"/>
      <c r="G71" s="4" t="s">
        <v>5</v>
      </c>
      <c r="H71" s="2">
        <f>$E71*$B$11+$B$10+'Станд.норм.распр.'!B64*$B$12+$B$2*'Станд.норм.распр.'!B63</f>
        <v>212.65448114380706</v>
      </c>
      <c r="I71" s="2">
        <f>$E71*$B$11+$B$10+'Станд.норм.распр.'!C64*$B$12+$B$2*'Станд.норм.распр.'!C63</f>
        <v>215.42227906710468</v>
      </c>
      <c r="J71" s="2">
        <f>$E71*$B$11+$B$10+'Станд.норм.распр.'!D64*$B$12+$B$2*'Станд.норм.распр.'!D63</f>
        <v>209.06768324156292</v>
      </c>
      <c r="K71" s="2">
        <f>$E71*$B$11+$B$10+'Станд.норм.распр.'!E64*$B$12+$B$2*'Станд.норм.распр.'!E63</f>
        <v>211.00333011990006</v>
      </c>
      <c r="L71" s="2">
        <f>$E71*$B$11+$B$10+'Станд.норм.распр.'!F64*$B$12+$B$2*'Станд.норм.распр.'!F63</f>
        <v>211.90026174398372</v>
      </c>
      <c r="M71" s="2">
        <f>$E71*$B$11+$B$10+'Станд.норм.распр.'!G64*$B$12+$B$2*'Станд.норм.распр.'!G63</f>
        <v>217.18209629060584</v>
      </c>
      <c r="N71" s="2">
        <f>$E71*$B$11+$B$10+'Станд.норм.распр.'!H64*$B$12+$B$2*'Станд.норм.распр.'!H63</f>
        <v>214.01115392681095</v>
      </c>
      <c r="O71" s="2">
        <f>$E71*$B$11+$B$10+'Станд.норм.распр.'!I64*$B$12+$B$2*'Станд.норм.распр.'!I63</f>
        <v>212.57512295623019</v>
      </c>
      <c r="P71" s="2">
        <f>$E71*$B$11+$B$10+'Станд.норм.распр.'!J64*$B$12+$B$2*'Станд.норм.распр.'!J63</f>
        <v>216.59988825948676</v>
      </c>
      <c r="Q71" s="2">
        <f>$E71*$B$11+$B$10+'Станд.норм.распр.'!K64*$B$12+$B$2*'Станд.норм.распр.'!K63</f>
        <v>213.66602524384507</v>
      </c>
    </row>
    <row r="72" spans="3:17" x14ac:dyDescent="0.35">
      <c r="C72" s="4" t="s">
        <v>71</v>
      </c>
      <c r="D72" s="4" t="s">
        <v>5</v>
      </c>
      <c r="E72" s="4">
        <v>942</v>
      </c>
      <c r="F72" s="4"/>
      <c r="G72" s="4" t="s">
        <v>5</v>
      </c>
      <c r="H72" s="2">
        <f>$E72*$B$11+$B$10+'Станд.норм.распр.'!B65*$B$12+$B$2*'Станд.норм.распр.'!B64</f>
        <v>943.34805191514897</v>
      </c>
      <c r="I72" s="2">
        <f>$E72*$B$11+$B$10+'Станд.норм.распр.'!C65*$B$12+$B$2*'Станд.норм.распр.'!C64</f>
        <v>942.7122141646978</v>
      </c>
      <c r="J72" s="2">
        <f>$E72*$B$11+$B$10+'Станд.норм.распр.'!D65*$B$12+$B$2*'Станд.норм.распр.'!D64</f>
        <v>943.81142332217132</v>
      </c>
      <c r="K72" s="2">
        <f>$E72*$B$11+$B$10+'Станд.норм.распр.'!E65*$B$12+$B$2*'Станд.норм.распр.'!E64</f>
        <v>948.76253717351938</v>
      </c>
      <c r="L72" s="2">
        <f>$E72*$B$11+$B$10+'Станд.норм.распр.'!F65*$B$12+$B$2*'Станд.норм.распр.'!F64</f>
        <v>939.34231028519571</v>
      </c>
      <c r="M72" s="2">
        <f>$E72*$B$11+$B$10+'Станд.норм.распр.'!G65*$B$12+$B$2*'Станд.норм.распр.'!G64</f>
        <v>946.38882103076321</v>
      </c>
      <c r="N72" s="2">
        <f>$E72*$B$11+$B$10+'Станд.норм.распр.'!H65*$B$12+$B$2*'Станд.норм.распр.'!H64</f>
        <v>944.31399622457684</v>
      </c>
      <c r="O72" s="2">
        <f>$E72*$B$11+$B$10+'Станд.норм.распр.'!I65*$B$12+$B$2*'Станд.норм.распр.'!I64</f>
        <v>939.81392944492109</v>
      </c>
      <c r="P72" s="2">
        <f>$E72*$B$11+$B$10+'Станд.норм.распр.'!J65*$B$12+$B$2*'Станд.норм.распр.'!J64</f>
        <v>950.49385219730902</v>
      </c>
      <c r="Q72" s="2">
        <f>$E72*$B$11+$B$10+'Станд.норм.распр.'!K65*$B$12+$B$2*'Станд.норм.распр.'!K64</f>
        <v>945.73720468410465</v>
      </c>
    </row>
    <row r="73" spans="3:17" x14ac:dyDescent="0.35">
      <c r="C73" s="4" t="s">
        <v>72</v>
      </c>
      <c r="D73" s="4" t="s">
        <v>5</v>
      </c>
      <c r="E73" s="4">
        <v>785</v>
      </c>
      <c r="F73" s="4"/>
      <c r="G73" s="4" t="s">
        <v>5</v>
      </c>
      <c r="H73" s="2">
        <f>$E73*$B$11+$B$10+'Станд.норм.распр.'!B66*$B$12+$B$2*'Станд.норм.распр.'!B65</f>
        <v>783.91742368668201</v>
      </c>
      <c r="I73" s="2">
        <f>$E73*$B$11+$B$10+'Станд.норм.распр.'!C66*$B$12+$B$2*'Станд.норм.распр.'!C65</f>
        <v>788.25929273053771</v>
      </c>
      <c r="J73" s="2">
        <f>$E73*$B$11+$B$10+'Станд.норм.распр.'!D66*$B$12+$B$2*'Станд.норм.распр.'!D65</f>
        <v>791.25375606027956</v>
      </c>
      <c r="K73" s="2">
        <f>$E73*$B$11+$B$10+'Станд.норм.распр.'!E66*$B$12+$B$2*'Станд.норм.распр.'!E65</f>
        <v>786.75187483869377</v>
      </c>
      <c r="L73" s="2">
        <f>$E73*$B$11+$B$10+'Станд.норм.распр.'!F66*$B$12+$B$2*'Станд.норм.распр.'!F65</f>
        <v>788.14744954468915</v>
      </c>
      <c r="M73" s="2">
        <f>$E73*$B$11+$B$10+'Станд.норм.распр.'!G66*$B$12+$B$2*'Станд.норм.распр.'!G65</f>
        <v>789.33482898390503</v>
      </c>
      <c r="N73" s="2">
        <f>$E73*$B$11+$B$10+'Станд.норм.распр.'!H66*$B$12+$B$2*'Станд.норм.распр.'!H65</f>
        <v>788.64282391779125</v>
      </c>
      <c r="O73" s="2">
        <f>$E73*$B$11+$B$10+'Станд.норм.распр.'!I66*$B$12+$B$2*'Станд.норм.распр.'!I65</f>
        <v>780.79262408183422</v>
      </c>
      <c r="P73" s="2">
        <f>$E73*$B$11+$B$10+'Станд.норм.распр.'!J66*$B$12+$B$2*'Станд.норм.распр.'!J65</f>
        <v>786.33716139821627</v>
      </c>
      <c r="Q73" s="2">
        <f>$E73*$B$11+$B$10+'Станд.норм.распр.'!K66*$B$12+$B$2*'Станд.норм.распр.'!K65</f>
        <v>785.34074651516858</v>
      </c>
    </row>
    <row r="74" spans="3:17" x14ac:dyDescent="0.35">
      <c r="C74" s="4" t="s">
        <v>73</v>
      </c>
      <c r="D74" s="4" t="s">
        <v>5</v>
      </c>
      <c r="E74" s="4">
        <v>896</v>
      </c>
      <c r="F74" s="4"/>
      <c r="G74" s="4" t="s">
        <v>5</v>
      </c>
      <c r="H74" s="2">
        <f>$E74*$B$11+$B$10+'Станд.норм.распр.'!B67*$B$12+$B$2*'Станд.норм.распр.'!B66</f>
        <v>897.85789440870576</v>
      </c>
      <c r="I74" s="2">
        <f>$E74*$B$11+$B$10+'Станд.норм.распр.'!C67*$B$12+$B$2*'Станд.норм.распр.'!C66</f>
        <v>898.99490421234805</v>
      </c>
      <c r="J74" s="2">
        <f>$E74*$B$11+$B$10+'Станд.норм.распр.'!D67*$B$12+$B$2*'Станд.норм.распр.'!D66</f>
        <v>895.11844066041522</v>
      </c>
      <c r="K74" s="2">
        <f>$E74*$B$11+$B$10+'Станд.норм.распр.'!E67*$B$12+$B$2*'Станд.норм.распр.'!E66</f>
        <v>901.70907173419255</v>
      </c>
      <c r="L74" s="2">
        <f>$E74*$B$11+$B$10+'Станд.норм.распр.'!F67*$B$12+$B$2*'Станд.норм.распр.'!F66</f>
        <v>897.81264083948622</v>
      </c>
      <c r="M74" s="2">
        <f>$E74*$B$11+$B$10+'Станд.норм.распр.'!G67*$B$12+$B$2*'Станд.норм.распр.'!G66</f>
        <v>894.97256559961238</v>
      </c>
      <c r="N74" s="2">
        <f>$E74*$B$11+$B$10+'Станд.норм.распр.'!H67*$B$12+$B$2*'Станд.норм.распр.'!H66</f>
        <v>893.43956073466688</v>
      </c>
      <c r="O74" s="2">
        <f>$E74*$B$11+$B$10+'Станд.норм.распр.'!I67*$B$12+$B$2*'Станд.норм.распр.'!I66</f>
        <v>900.53869939115248</v>
      </c>
      <c r="P74" s="2">
        <f>$E74*$B$11+$B$10+'Станд.норм.распр.'!J67*$B$12+$B$2*'Станд.норм.распр.'!J66</f>
        <v>902.07381571676524</v>
      </c>
      <c r="Q74" s="2">
        <f>$E74*$B$11+$B$10+'Станд.норм.распр.'!K67*$B$12+$B$2*'Станд.норм.распр.'!K66</f>
        <v>897.96783049027727</v>
      </c>
    </row>
    <row r="75" spans="3:17" x14ac:dyDescent="0.35">
      <c r="C75" s="4" t="s">
        <v>74</v>
      </c>
      <c r="D75" s="4" t="s">
        <v>5</v>
      </c>
      <c r="E75" s="4">
        <v>920</v>
      </c>
      <c r="F75" s="4"/>
      <c r="G75" s="4" t="s">
        <v>5</v>
      </c>
      <c r="H75" s="2">
        <f>$E75*$B$11+$B$10+'Станд.норм.распр.'!B68*$B$12+$B$2*'Станд.норм.распр.'!B67</f>
        <v>923.54733220369963</v>
      </c>
      <c r="I75" s="2">
        <f>$E75*$B$11+$B$10+'Станд.норм.распр.'!C68*$B$12+$B$2*'Станд.норм.распр.'!C67</f>
        <v>922.18185301087215</v>
      </c>
      <c r="J75" s="2">
        <f>$E75*$B$11+$B$10+'Станд.норм.распр.'!D68*$B$12+$B$2*'Станд.норм.распр.'!D67</f>
        <v>920.59924946576939</v>
      </c>
      <c r="K75" s="2">
        <f>$E75*$B$11+$B$10+'Станд.норм.распр.'!E68*$B$12+$B$2*'Станд.норм.распр.'!E67</f>
        <v>919.54394184492412</v>
      </c>
      <c r="L75" s="2">
        <f>$E75*$B$11+$B$10+'Станд.норм.распр.'!F68*$B$12+$B$2*'Станд.норм.распр.'!F67</f>
        <v>920.26296811988868</v>
      </c>
      <c r="M75" s="2">
        <f>$E75*$B$11+$B$10+'Станд.норм.распр.'!G68*$B$12+$B$2*'Станд.норм.распр.'!G67</f>
        <v>922.45281262828212</v>
      </c>
      <c r="N75" s="2">
        <f>$E75*$B$11+$B$10+'Станд.норм.распр.'!H68*$B$12+$B$2*'Станд.норм.распр.'!H67</f>
        <v>920.76905644669023</v>
      </c>
      <c r="O75" s="2">
        <f>$E75*$B$11+$B$10+'Станд.норм.распр.'!I68*$B$12+$B$2*'Станд.норм.распр.'!I67</f>
        <v>926.09072254115017</v>
      </c>
      <c r="P75" s="2">
        <f>$E75*$B$11+$B$10+'Станд.норм.распр.'!J68*$B$12+$B$2*'Станд.норм.распр.'!J67</f>
        <v>925.38295376423048</v>
      </c>
      <c r="Q75" s="2">
        <f>$E75*$B$11+$B$10+'Станд.норм.распр.'!K68*$B$12+$B$2*'Станд.норм.распр.'!K67</f>
        <v>921.60186369207804</v>
      </c>
    </row>
    <row r="76" spans="3:17" x14ac:dyDescent="0.35">
      <c r="C76" s="4" t="s">
        <v>75</v>
      </c>
      <c r="D76" s="4" t="s">
        <v>5</v>
      </c>
      <c r="E76" s="4">
        <v>147</v>
      </c>
      <c r="F76" s="4"/>
      <c r="G76" s="4" t="s">
        <v>5</v>
      </c>
      <c r="H76" s="2">
        <f>$E76*$B$11+$B$10+'Станд.норм.распр.'!B69*$B$12+$B$2*'Станд.норм.распр.'!B68</f>
        <v>145.58704291505273</v>
      </c>
      <c r="I76" s="2">
        <f>$E76*$B$11+$B$10+'Станд.норм.распр.'!C69*$B$12+$B$2*'Станд.норм.распр.'!C68</f>
        <v>151.02458954845497</v>
      </c>
      <c r="J76" s="2">
        <f>$E76*$B$11+$B$10+'Станд.норм.распр.'!D69*$B$12+$B$2*'Станд.норм.распр.'!D68</f>
        <v>152.27560610458022</v>
      </c>
      <c r="K76" s="2">
        <f>$E76*$B$11+$B$10+'Станд.норм.распр.'!E69*$B$12+$B$2*'Станд.норм.распр.'!E68</f>
        <v>149.24988958102767</v>
      </c>
      <c r="L76" s="2">
        <f>$E76*$B$11+$B$10+'Станд.норм.распр.'!F69*$B$12+$B$2*'Станд.норм.распр.'!F68</f>
        <v>149.86740146798547</v>
      </c>
      <c r="M76" s="2">
        <f>$E76*$B$11+$B$10+'Станд.норм.распр.'!G69*$B$12+$B$2*'Станд.норм.распр.'!G68</f>
        <v>150.80418533091142</v>
      </c>
      <c r="N76" s="2">
        <f>$E76*$B$11+$B$10+'Станд.норм.распр.'!H69*$B$12+$B$2*'Станд.норм.распр.'!H68</f>
        <v>150.49902621160436</v>
      </c>
      <c r="O76" s="2">
        <f>$E76*$B$11+$B$10+'Станд.норм.распр.'!I69*$B$12+$B$2*'Станд.норм.распр.'!I68</f>
        <v>148.90832111507189</v>
      </c>
      <c r="P76" s="2">
        <f>$E76*$B$11+$B$10+'Станд.норм.распр.'!J69*$B$12+$B$2*'Станд.норм.распр.'!J68</f>
        <v>150.77901847564499</v>
      </c>
      <c r="Q76" s="2">
        <f>$E76*$B$11+$B$10+'Станд.норм.распр.'!K69*$B$12+$B$2*'Станд.норм.распр.'!K68</f>
        <v>155.36635036244115</v>
      </c>
    </row>
    <row r="77" spans="3:17" x14ac:dyDescent="0.35">
      <c r="C77" s="4" t="s">
        <v>76</v>
      </c>
      <c r="D77" s="4" t="s">
        <v>5</v>
      </c>
      <c r="E77" s="4">
        <v>712</v>
      </c>
      <c r="F77" s="4"/>
      <c r="G77" s="4" t="s">
        <v>5</v>
      </c>
      <c r="H77" s="2">
        <f>$E77*$B$11+$B$10+'Станд.норм.распр.'!B70*$B$12+$B$2*'Станд.норм.распр.'!B69</f>
        <v>711.13268471168703</v>
      </c>
      <c r="I77" s="2">
        <f>$E77*$B$11+$B$10+'Станд.норм.распр.'!C70*$B$12+$B$2*'Станд.норм.распр.'!C69</f>
        <v>713.54065970086958</v>
      </c>
      <c r="J77" s="2">
        <f>$E77*$B$11+$B$10+'Станд.норм.распр.'!D70*$B$12+$B$2*'Станд.норм.распр.'!D69</f>
        <v>711.83852990731248</v>
      </c>
      <c r="K77" s="2">
        <f>$E77*$B$11+$B$10+'Станд.норм.распр.'!E70*$B$12+$B$2*'Станд.норм.распр.'!E69</f>
        <v>711.37342704975163</v>
      </c>
      <c r="L77" s="2">
        <f>$E77*$B$11+$B$10+'Станд.норм.распр.'!F70*$B$12+$B$2*'Станд.норм.распр.'!F69</f>
        <v>714.153947439685</v>
      </c>
      <c r="M77" s="2">
        <f>$E77*$B$11+$B$10+'Станд.норм.распр.'!G70*$B$12+$B$2*'Станд.норм.распр.'!G69</f>
        <v>708.27736065626959</v>
      </c>
      <c r="N77" s="2">
        <f>$E77*$B$11+$B$10+'Станд.норм.распр.'!H70*$B$12+$B$2*'Станд.норм.распр.'!H69</f>
        <v>710.98171586715034</v>
      </c>
      <c r="O77" s="2">
        <f>$E77*$B$11+$B$10+'Станд.норм.распр.'!I70*$B$12+$B$2*'Станд.норм.распр.'!I69</f>
        <v>712.13866952536046</v>
      </c>
      <c r="P77" s="2">
        <f>$E77*$B$11+$B$10+'Станд.норм.распр.'!J70*$B$12+$B$2*'Станд.норм.распр.'!J69</f>
        <v>712.63983703107806</v>
      </c>
      <c r="Q77" s="2">
        <f>$E77*$B$11+$B$10+'Станд.норм.распр.'!K70*$B$12+$B$2*'Станд.норм.распр.'!K69</f>
        <v>713.33057268511038</v>
      </c>
    </row>
    <row r="78" spans="3:17" x14ac:dyDescent="0.35">
      <c r="C78" s="4" t="s">
        <v>77</v>
      </c>
      <c r="D78" s="4" t="s">
        <v>5</v>
      </c>
      <c r="E78" s="4">
        <v>418</v>
      </c>
      <c r="F78" s="4"/>
      <c r="G78" s="4" t="s">
        <v>5</v>
      </c>
      <c r="H78" s="2">
        <f>$E78*$B$11+$B$10+'Станд.норм.распр.'!B71*$B$12+$B$2*'Станд.норм.распр.'!B70</f>
        <v>423.02278466126882</v>
      </c>
      <c r="I78" s="2">
        <f>$E78*$B$11+$B$10+'Станд.норм.распр.'!C71*$B$12+$B$2*'Станд.норм.распр.'!C70</f>
        <v>418.72508033149643</v>
      </c>
      <c r="J78" s="2">
        <f>$E78*$B$11+$B$10+'Станд.норм.распр.'!D71*$B$12+$B$2*'Станд.норм.распр.'!D70</f>
        <v>415.97763508063508</v>
      </c>
      <c r="K78" s="2">
        <f>$E78*$B$11+$B$10+'Станд.норм.распр.'!E71*$B$12+$B$2*'Станд.норм.распр.'!E70</f>
        <v>416.17995172229712</v>
      </c>
      <c r="L78" s="2">
        <f>$E78*$B$11+$B$10+'Станд.норм.распр.'!F71*$B$12+$B$2*'Станд.норм.распр.'!F70</f>
        <v>420.59288458942319</v>
      </c>
      <c r="M78" s="2">
        <f>$E78*$B$11+$B$10+'Станд.норм.распр.'!G71*$B$12+$B$2*'Станд.норм.распр.'!G70</f>
        <v>417.3725412019121</v>
      </c>
      <c r="N78" s="2">
        <f>$E78*$B$11+$B$10+'Станд.норм.распр.'!H71*$B$12+$B$2*'Станд.норм.распр.'!H70</f>
        <v>418.64219944356591</v>
      </c>
      <c r="O78" s="2">
        <f>$E78*$B$11+$B$10+'Станд.норм.распр.'!I71*$B$12+$B$2*'Станд.норм.распр.'!I70</f>
        <v>421.89424554264406</v>
      </c>
      <c r="P78" s="2">
        <f>$E78*$B$11+$B$10+'Станд.норм.распр.'!J71*$B$12+$B$2*'Станд.норм.распр.'!J70</f>
        <v>416.751489561575</v>
      </c>
      <c r="Q78" s="2">
        <f>$E78*$B$11+$B$10+'Станд.норм.распр.'!K71*$B$12+$B$2*'Станд.норм.распр.'!K70</f>
        <v>424.10272452932549</v>
      </c>
    </row>
    <row r="79" spans="3:17" x14ac:dyDescent="0.35">
      <c r="C79" s="4" t="s">
        <v>78</v>
      </c>
      <c r="D79" s="4" t="s">
        <v>5</v>
      </c>
      <c r="E79" s="4">
        <v>876</v>
      </c>
      <c r="F79" s="4"/>
      <c r="G79" s="4" t="s">
        <v>5</v>
      </c>
      <c r="H79" s="2">
        <f>$E79*$B$11+$B$10+'Станд.норм.распр.'!B72*$B$12+$B$2*'Станд.норм.распр.'!B71</f>
        <v>879.56669564199115</v>
      </c>
      <c r="I79" s="2">
        <f>$E79*$B$11+$B$10+'Станд.норм.распр.'!C72*$B$12+$B$2*'Станд.норм.распр.'!C71</f>
        <v>874.48526591045083</v>
      </c>
      <c r="J79" s="2">
        <f>$E79*$B$11+$B$10+'Станд.норм.распр.'!D72*$B$12+$B$2*'Станд.норм.распр.'!D71</f>
        <v>875.28933107689954</v>
      </c>
      <c r="K79" s="2">
        <f>$E79*$B$11+$B$10+'Станд.норм.распр.'!E72*$B$12+$B$2*'Станд.норм.распр.'!E71</f>
        <v>874.92079700253089</v>
      </c>
      <c r="L79" s="2">
        <f>$E79*$B$11+$B$10+'Станд.норм.распр.'!F72*$B$12+$B$2*'Станд.норм.распр.'!F71</f>
        <v>876.64411302041844</v>
      </c>
      <c r="M79" s="2">
        <f>$E79*$B$11+$B$10+'Станд.норм.распр.'!G72*$B$12+$B$2*'Станд.норм.распр.'!G71</f>
        <v>873.61617050858331</v>
      </c>
      <c r="N79" s="2">
        <f>$E79*$B$11+$B$10+'Станд.норм.распр.'!H72*$B$12+$B$2*'Станд.норм.распр.'!H71</f>
        <v>876.00109890202293</v>
      </c>
      <c r="O79" s="2">
        <f>$E79*$B$11+$B$10+'Станд.норм.распр.'!I72*$B$12+$B$2*'Станд.норм.распр.'!I71</f>
        <v>872.18046263599535</v>
      </c>
      <c r="P79" s="2">
        <f>$E79*$B$11+$B$10+'Станд.норм.распр.'!J72*$B$12+$B$2*'Станд.норм.распр.'!J71</f>
        <v>878.87906573753571</v>
      </c>
      <c r="Q79" s="2">
        <f>$E79*$B$11+$B$10+'Станд.норм.распр.'!K72*$B$12+$B$2*'Станд.норм.распр.'!K71</f>
        <v>879.51896824718278</v>
      </c>
    </row>
    <row r="80" spans="3:17" x14ac:dyDescent="0.35">
      <c r="C80" s="4" t="s">
        <v>79</v>
      </c>
      <c r="D80" s="4" t="s">
        <v>5</v>
      </c>
      <c r="E80" s="4">
        <v>757</v>
      </c>
      <c r="F80" s="4"/>
      <c r="G80" s="4" t="s">
        <v>5</v>
      </c>
      <c r="H80" s="2">
        <f>$E80*$B$11+$B$10+'Станд.норм.распр.'!B73*$B$12+$B$2*'Станд.норм.распр.'!B72</f>
        <v>762.76707544091914</v>
      </c>
      <c r="I80" s="2">
        <f>$E80*$B$11+$B$10+'Станд.норм.распр.'!C73*$B$12+$B$2*'Станд.норм.распр.'!C72</f>
        <v>759.48716992750997</v>
      </c>
      <c r="J80" s="2">
        <f>$E80*$B$11+$B$10+'Станд.норм.распр.'!D73*$B$12+$B$2*'Станд.норм.распр.'!D72</f>
        <v>758.9008377926657</v>
      </c>
      <c r="K80" s="2">
        <f>$E80*$B$11+$B$10+'Станд.норм.распр.'!E73*$B$12+$B$2*'Станд.норм.распр.'!E72</f>
        <v>755.57595890312223</v>
      </c>
      <c r="L80" s="2">
        <f>$E80*$B$11+$B$10+'Станд.норм.распр.'!F73*$B$12+$B$2*'Станд.норм.распр.'!F72</f>
        <v>758.90940659699845</v>
      </c>
      <c r="M80" s="2">
        <f>$E80*$B$11+$B$10+'Станд.норм.распр.'!G73*$B$12+$B$2*'Станд.норм.распр.'!G72</f>
        <v>756.60699802209274</v>
      </c>
      <c r="N80" s="2">
        <f>$E80*$B$11+$B$10+'Станд.норм.распр.'!H73*$B$12+$B$2*'Станд.норм.распр.'!H72</f>
        <v>764.07847926201066</v>
      </c>
      <c r="O80" s="2">
        <f>$E80*$B$11+$B$10+'Станд.норм.распр.'!I73*$B$12+$B$2*'Станд.норм.распр.'!I72</f>
        <v>754.08668952330481</v>
      </c>
      <c r="P80" s="2">
        <f>$E80*$B$11+$B$10+'Станд.норм.распр.'!J73*$B$12+$B$2*'Станд.норм.распр.'!J72</f>
        <v>759.98579766927287</v>
      </c>
      <c r="Q80" s="2">
        <f>$E80*$B$11+$B$10+'Станд.норм.распр.'!K73*$B$12+$B$2*'Станд.норм.распр.'!K72</f>
        <v>757.01907802066125</v>
      </c>
    </row>
    <row r="81" spans="3:17" x14ac:dyDescent="0.35">
      <c r="C81" s="4" t="s">
        <v>80</v>
      </c>
      <c r="D81" s="4" t="s">
        <v>5</v>
      </c>
      <c r="E81" s="4">
        <v>670</v>
      </c>
      <c r="F81" s="4"/>
      <c r="G81" s="4" t="s">
        <v>5</v>
      </c>
      <c r="H81" s="2">
        <f>$E81*$B$11+$B$10+'Станд.норм.распр.'!B74*$B$12+$B$2*'Станд.норм.распр.'!B73</f>
        <v>671.33529966256174</v>
      </c>
      <c r="I81" s="2">
        <f>$E81*$B$11+$B$10+'Станд.норм.распр.'!C74*$B$12+$B$2*'Станд.норм.распр.'!C73</f>
        <v>675.20855906466022</v>
      </c>
      <c r="J81" s="2">
        <f>$E81*$B$11+$B$10+'Станд.норм.распр.'!D74*$B$12+$B$2*'Станд.норм.распр.'!D73</f>
        <v>671.77054267219501</v>
      </c>
      <c r="K81" s="2">
        <f>$E81*$B$11+$B$10+'Станд.норм.распр.'!E74*$B$12+$B$2*'Станд.норм.распр.'!E73</f>
        <v>670.6588538831711</v>
      </c>
      <c r="L81" s="2">
        <f>$E81*$B$11+$B$10+'Станд.норм.распр.'!F74*$B$12+$B$2*'Станд.норм.распр.'!F73</f>
        <v>672.28412750907592</v>
      </c>
      <c r="M81" s="2">
        <f>$E81*$B$11+$B$10+'Станд.норм.распр.'!G74*$B$12+$B$2*'Станд.норм.распр.'!G73</f>
        <v>674.92727645501145</v>
      </c>
      <c r="N81" s="2">
        <f>$E81*$B$11+$B$10+'Станд.норм.распр.'!H74*$B$12+$B$2*'Станд.норм.распр.'!H73</f>
        <v>669.34837501819129</v>
      </c>
      <c r="O81" s="2">
        <f>$E81*$B$11+$B$10+'Станд.норм.распр.'!I74*$B$12+$B$2*'Станд.норм.распр.'!I73</f>
        <v>674.65408834820846</v>
      </c>
      <c r="P81" s="2">
        <f>$E81*$B$11+$B$10+'Станд.норм.распр.'!J74*$B$12+$B$2*'Станд.норм.распр.'!J73</f>
        <v>671.56556735014601</v>
      </c>
      <c r="Q81" s="2">
        <f>$E81*$B$11+$B$10+'Станд.норм.распр.'!K74*$B$12+$B$2*'Станд.норм.распр.'!K73</f>
        <v>677.5707409956085</v>
      </c>
    </row>
    <row r="82" spans="3:17" x14ac:dyDescent="0.35">
      <c r="C82" s="4" t="s">
        <v>81</v>
      </c>
      <c r="D82" s="4" t="s">
        <v>5</v>
      </c>
      <c r="E82" s="4">
        <v>823</v>
      </c>
      <c r="F82" s="4"/>
      <c r="G82" s="4" t="s">
        <v>5</v>
      </c>
      <c r="H82" s="2">
        <f>$E82*$B$11+$B$10+'Станд.норм.распр.'!B75*$B$12+$B$2*'Станд.норм.распр.'!B74</f>
        <v>826.0838077741937</v>
      </c>
      <c r="I82" s="2">
        <f>$E82*$B$11+$B$10+'Станд.норм.распр.'!C75*$B$12+$B$2*'Станд.норм.распр.'!C74</f>
        <v>822.19947800258524</v>
      </c>
      <c r="J82" s="2">
        <f>$E82*$B$11+$B$10+'Станд.норм.распр.'!D75*$B$12+$B$2*'Станд.норм.распр.'!D74</f>
        <v>823.10591680216021</v>
      </c>
      <c r="K82" s="2">
        <f>$E82*$B$11+$B$10+'Станд.норм.распр.'!E75*$B$12+$B$2*'Станд.норм.распр.'!E74</f>
        <v>822.10580937062332</v>
      </c>
      <c r="L82" s="2">
        <f>$E82*$B$11+$B$10+'Станд.норм.распр.'!F75*$B$12+$B$2*'Станд.норм.распр.'!F74</f>
        <v>827.40248709815205</v>
      </c>
      <c r="M82" s="2">
        <f>$E82*$B$11+$B$10+'Станд.норм.распр.'!G75*$B$12+$B$2*'Станд.норм.распр.'!G74</f>
        <v>825.51825031732733</v>
      </c>
      <c r="N82" s="2">
        <f>$E82*$B$11+$B$10+'Станд.норм.распр.'!H75*$B$12+$B$2*'Станд.норм.распр.'!H74</f>
        <v>824.38417136036151</v>
      </c>
      <c r="O82" s="2">
        <f>$E82*$B$11+$B$10+'Станд.норм.распр.'!I75*$B$12+$B$2*'Станд.норм.распр.'!I74</f>
        <v>828.16713749271003</v>
      </c>
      <c r="P82" s="2">
        <f>$E82*$B$11+$B$10+'Станд.норм.распр.'!J75*$B$12+$B$2*'Станд.норм.распр.'!J74</f>
        <v>827.89765080196958</v>
      </c>
      <c r="Q82" s="2">
        <f>$E82*$B$11+$B$10+'Станд.норм.распр.'!K75*$B$12+$B$2*'Станд.норм.распр.'!K74</f>
        <v>824.37119708495447</v>
      </c>
    </row>
    <row r="83" spans="3:17" x14ac:dyDescent="0.35">
      <c r="C83" s="4" t="s">
        <v>82</v>
      </c>
      <c r="D83" s="4" t="s">
        <v>5</v>
      </c>
      <c r="E83" s="4">
        <v>634</v>
      </c>
      <c r="F83" s="4"/>
      <c r="G83" s="4" t="s">
        <v>5</v>
      </c>
      <c r="H83" s="2">
        <f>$E83*$B$11+$B$10+'Станд.норм.распр.'!B76*$B$12+$B$2*'Станд.норм.распр.'!B75</f>
        <v>637.27798671201163</v>
      </c>
      <c r="I83" s="2">
        <f>$E83*$B$11+$B$10+'Станд.норм.распр.'!C76*$B$12+$B$2*'Станд.норм.распр.'!C75</f>
        <v>634.02488991917926</v>
      </c>
      <c r="J83" s="2">
        <f>$E83*$B$11+$B$10+'Станд.норм.распр.'!D76*$B$12+$B$2*'Станд.норм.распр.'!D75</f>
        <v>636.00573390934733</v>
      </c>
      <c r="K83" s="2">
        <f>$E83*$B$11+$B$10+'Станд.норм.распр.'!E76*$B$12+$B$2*'Станд.норм.распр.'!E75</f>
        <v>634.99456815910526</v>
      </c>
      <c r="L83" s="2">
        <f>$E83*$B$11+$B$10+'Станд.норм.распр.'!F76*$B$12+$B$2*'Станд.норм.распр.'!F75</f>
        <v>633.57820114609785</v>
      </c>
      <c r="M83" s="2">
        <f>$E83*$B$11+$B$10+'Станд.норм.распр.'!G76*$B$12+$B$2*'Станд.норм.распр.'!G75</f>
        <v>631.34191897510027</v>
      </c>
      <c r="N83" s="2">
        <f>$E83*$B$11+$B$10+'Станд.норм.распр.'!H76*$B$12+$B$2*'Станд.норм.распр.'!H75</f>
        <v>632.53370036867273</v>
      </c>
      <c r="O83" s="2">
        <f>$E83*$B$11+$B$10+'Станд.норм.распр.'!I76*$B$12+$B$2*'Станд.норм.распр.'!I75</f>
        <v>635.02337549428921</v>
      </c>
      <c r="P83" s="2">
        <f>$E83*$B$11+$B$10+'Станд.норм.распр.'!J76*$B$12+$B$2*'Станд.норм.распр.'!J75</f>
        <v>634.79805318414583</v>
      </c>
      <c r="Q83" s="2">
        <f>$E83*$B$11+$B$10+'Станд.норм.распр.'!K76*$B$12+$B$2*'Станд.норм.распр.'!K75</f>
        <v>635.38889978592056</v>
      </c>
    </row>
    <row r="84" spans="3:17" x14ac:dyDescent="0.35">
      <c r="C84" s="4" t="s">
        <v>83</v>
      </c>
      <c r="D84" s="4" t="s">
        <v>5</v>
      </c>
      <c r="E84" s="4">
        <v>407</v>
      </c>
      <c r="F84" s="4"/>
      <c r="G84" s="4" t="s">
        <v>5</v>
      </c>
      <c r="H84" s="2">
        <f>$E84*$B$11+$B$10+'Станд.норм.распр.'!B77*$B$12+$B$2*'Станд.норм.распр.'!B76</f>
        <v>409.88331694314547</v>
      </c>
      <c r="I84" s="2">
        <f>$E84*$B$11+$B$10+'Станд.норм.распр.'!C77*$B$12+$B$2*'Станд.норм.распр.'!C76</f>
        <v>408.80837787916244</v>
      </c>
      <c r="J84" s="2">
        <f>$E84*$B$11+$B$10+'Станд.норм.распр.'!D77*$B$12+$B$2*'Станд.норм.распр.'!D76</f>
        <v>404.52694600122049</v>
      </c>
      <c r="K84" s="2">
        <f>$E84*$B$11+$B$10+'Станд.норм.распр.'!E77*$B$12+$B$2*'Станд.норм.распр.'!E76</f>
        <v>403.09020119855995</v>
      </c>
      <c r="L84" s="2">
        <f>$E84*$B$11+$B$10+'Станд.норм.распр.'!F77*$B$12+$B$2*'Станд.норм.распр.'!F76</f>
        <v>407.18584228705731</v>
      </c>
      <c r="M84" s="2">
        <f>$E84*$B$11+$B$10+'Станд.норм.распр.'!G77*$B$12+$B$2*'Станд.норм.распр.'!G76</f>
        <v>410.98821317098918</v>
      </c>
      <c r="N84" s="2">
        <f>$E84*$B$11+$B$10+'Станд.норм.распр.'!H77*$B$12+$B$2*'Станд.норм.распр.'!H76</f>
        <v>407.76457877689973</v>
      </c>
      <c r="O84" s="2">
        <f>$E84*$B$11+$B$10+'Станд.норм.распр.'!I77*$B$12+$B$2*'Станд.норм.распр.'!I76</f>
        <v>408.18064168014098</v>
      </c>
      <c r="P84" s="2">
        <f>$E84*$B$11+$B$10+'Станд.норм.распр.'!J77*$B$12+$B$2*'Станд.норм.распр.'!J76</f>
        <v>409.83302211351111</v>
      </c>
      <c r="Q84" s="2">
        <f>$E84*$B$11+$B$10+'Станд.норм.распр.'!K77*$B$12+$B$2*'Станд.норм.распр.'!K76</f>
        <v>409.3590453848621</v>
      </c>
    </row>
    <row r="85" spans="3:17" x14ac:dyDescent="0.35">
      <c r="C85" s="4" t="s">
        <v>84</v>
      </c>
      <c r="D85" s="4" t="s">
        <v>5</v>
      </c>
      <c r="E85" s="4">
        <v>923</v>
      </c>
      <c r="F85" s="4"/>
      <c r="G85" s="4" t="s">
        <v>5</v>
      </c>
      <c r="H85" s="2">
        <f>$E85*$B$11+$B$10+'Станд.норм.распр.'!B78*$B$12+$B$2*'Станд.норм.распр.'!B77</f>
        <v>921.76973448003992</v>
      </c>
      <c r="I85" s="2">
        <f>$E85*$B$11+$B$10+'Станд.норм.распр.'!C78*$B$12+$B$2*'Станд.норм.распр.'!C77</f>
        <v>926.12231623461412</v>
      </c>
      <c r="J85" s="2">
        <f>$E85*$B$11+$B$10+'Станд.норм.распр.'!D78*$B$12+$B$2*'Станд.норм.распр.'!D77</f>
        <v>923.64634144109436</v>
      </c>
      <c r="K85" s="2">
        <f>$E85*$B$11+$B$10+'Станд.норм.распр.'!E78*$B$12+$B$2*'Станд.норм.распр.'!E77</f>
        <v>926.93419236893533</v>
      </c>
      <c r="L85" s="2">
        <f>$E85*$B$11+$B$10+'Станд.норм.распр.'!F78*$B$12+$B$2*'Станд.норм.распр.'!F77</f>
        <v>922.07636061430094</v>
      </c>
      <c r="M85" s="2">
        <f>$E85*$B$11+$B$10+'Станд.норм.распр.'!G78*$B$12+$B$2*'Станд.норм.распр.'!G77</f>
        <v>920.63268147539929</v>
      </c>
      <c r="N85" s="2">
        <f>$E85*$B$11+$B$10+'Станд.норм.распр.'!H78*$B$12+$B$2*'Станд.норм.распр.'!H77</f>
        <v>928.47342700781883</v>
      </c>
      <c r="O85" s="2">
        <f>$E85*$B$11+$B$10+'Станд.норм.распр.'!I78*$B$12+$B$2*'Станд.норм.распр.'!I77</f>
        <v>926.01768637250643</v>
      </c>
      <c r="P85" s="2">
        <f>$E85*$B$11+$B$10+'Станд.норм.распр.'!J78*$B$12+$B$2*'Станд.норм.распр.'!J77</f>
        <v>924.96821270542569</v>
      </c>
      <c r="Q85" s="2">
        <f>$E85*$B$11+$B$10+'Станд.норм.распр.'!K78*$B$12+$B$2*'Станд.норм.распр.'!K77</f>
        <v>922.18930280323548</v>
      </c>
    </row>
    <row r="86" spans="3:17" x14ac:dyDescent="0.35">
      <c r="C86" s="4" t="s">
        <v>85</v>
      </c>
      <c r="D86" s="4" t="s">
        <v>5</v>
      </c>
      <c r="E86" s="4">
        <v>235</v>
      </c>
      <c r="F86" s="4"/>
      <c r="G86" s="4" t="s">
        <v>5</v>
      </c>
      <c r="H86" s="2">
        <f>$E86*$B$11+$B$10+'Станд.норм.распр.'!B79*$B$12+$B$2*'Станд.норм.распр.'!B78</f>
        <v>230.3811468508793</v>
      </c>
      <c r="I86" s="2">
        <f>$E86*$B$11+$B$10+'Станд.норм.распр.'!C79*$B$12+$B$2*'Станд.норм.распр.'!C78</f>
        <v>239.22689777729101</v>
      </c>
      <c r="J86" s="2">
        <f>$E86*$B$11+$B$10+'Станд.норм.распр.'!D79*$B$12+$B$2*'Станд.норм.распр.'!D78</f>
        <v>234.17062519266619</v>
      </c>
      <c r="K86" s="2">
        <f>$E86*$B$11+$B$10+'Станд.норм.распр.'!E79*$B$12+$B$2*'Станд.норм.распр.'!E78</f>
        <v>237.03686386662594</v>
      </c>
      <c r="L86" s="2">
        <f>$E86*$B$11+$B$10+'Станд.норм.распр.'!F79*$B$12+$B$2*'Станд.норм.распр.'!F78</f>
        <v>232.72198203168227</v>
      </c>
      <c r="M86" s="2">
        <f>$E86*$B$11+$B$10+'Станд.норм.распр.'!G79*$B$12+$B$2*'Станд.норм.распр.'!G78</f>
        <v>237.35219682104071</v>
      </c>
      <c r="N86" s="2">
        <f>$E86*$B$11+$B$10+'Станд.норм.распр.'!H79*$B$12+$B$2*'Станд.норм.распр.'!H78</f>
        <v>235.69405821805702</v>
      </c>
      <c r="O86" s="2">
        <f>$E86*$B$11+$B$10+'Станд.норм.распр.'!I79*$B$12+$B$2*'Станд.норм.распр.'!I78</f>
        <v>239.54483074968448</v>
      </c>
      <c r="P86" s="2">
        <f>$E86*$B$11+$B$10+'Станд.норм.распр.'!J79*$B$12+$B$2*'Станд.норм.распр.'!J78</f>
        <v>243.19787351752166</v>
      </c>
      <c r="Q86" s="2">
        <f>$E86*$B$11+$B$10+'Станд.норм.распр.'!K79*$B$12+$B$2*'Станд.норм.распр.'!K78</f>
        <v>237.79377241490874</v>
      </c>
    </row>
    <row r="87" spans="3:17" x14ac:dyDescent="0.35">
      <c r="C87" s="4" t="s">
        <v>86</v>
      </c>
      <c r="D87" s="4" t="s">
        <v>5</v>
      </c>
      <c r="E87" s="4">
        <v>314</v>
      </c>
      <c r="F87" s="4"/>
      <c r="G87" s="4" t="s">
        <v>5</v>
      </c>
      <c r="H87" s="2">
        <f>$E87*$B$11+$B$10+'Станд.норм.распр.'!B80*$B$12+$B$2*'Станд.норм.распр.'!B79</f>
        <v>319.3886805188813</v>
      </c>
      <c r="I87" s="2">
        <f>$E87*$B$11+$B$10+'Станд.норм.распр.'!C80*$B$12+$B$2*'Станд.норм.распр.'!C79</f>
        <v>314.01921603648225</v>
      </c>
      <c r="J87" s="2">
        <f>$E87*$B$11+$B$10+'Станд.норм.распр.'!D80*$B$12+$B$2*'Станд.норм.распр.'!D79</f>
        <v>315.91304048307939</v>
      </c>
      <c r="K87" s="2">
        <f>$E87*$B$11+$B$10+'Станд.норм.распр.'!E80*$B$12+$B$2*'Станд.норм.распр.'!E79</f>
        <v>313.15543049205735</v>
      </c>
      <c r="L87" s="2">
        <f>$E87*$B$11+$B$10+'Станд.норм.распр.'!F80*$B$12+$B$2*'Станд.норм.распр.'!F79</f>
        <v>317.28545718023088</v>
      </c>
      <c r="M87" s="2">
        <f>$E87*$B$11+$B$10+'Станд.норм.распр.'!G80*$B$12+$B$2*'Станд.норм.распр.'!G79</f>
        <v>313.80119424031</v>
      </c>
      <c r="N87" s="2">
        <f>$E87*$B$11+$B$10+'Станд.норм.распр.'!H80*$B$12+$B$2*'Станд.норм.распр.'!H79</f>
        <v>313.18095477874158</v>
      </c>
      <c r="O87" s="2">
        <f>$E87*$B$11+$B$10+'Станд.норм.распр.'!I80*$B$12+$B$2*'Станд.норм.распр.'!I79</f>
        <v>310.31577953146189</v>
      </c>
      <c r="P87" s="2">
        <f>$E87*$B$11+$B$10+'Станд.норм.распр.'!J80*$B$12+$B$2*'Станд.норм.распр.'!J79</f>
        <v>316.69296311266953</v>
      </c>
      <c r="Q87" s="2">
        <f>$E87*$B$11+$B$10+'Станд.норм.распр.'!K80*$B$12+$B$2*'Станд.норм.распр.'!K79</f>
        <v>316.67311293605599</v>
      </c>
    </row>
    <row r="88" spans="3:17" x14ac:dyDescent="0.35">
      <c r="C88" s="4" t="s">
        <v>87</v>
      </c>
      <c r="D88" s="4" t="s">
        <v>5</v>
      </c>
      <c r="E88" s="4">
        <v>911</v>
      </c>
      <c r="F88" s="4"/>
      <c r="G88" s="4" t="s">
        <v>5</v>
      </c>
      <c r="H88" s="2">
        <f>$E88*$B$11+$B$10+'Станд.норм.распр.'!B81*$B$12+$B$2*'Станд.норм.распр.'!B80</f>
        <v>917.80209560817752</v>
      </c>
      <c r="I88" s="2">
        <f>$E88*$B$11+$B$10+'Станд.норм.распр.'!C81*$B$12+$B$2*'Станд.норм.распр.'!C80</f>
        <v>908.6447932163428</v>
      </c>
      <c r="J88" s="2">
        <f>$E88*$B$11+$B$10+'Станд.норм.распр.'!D81*$B$12+$B$2*'Станд.норм.распр.'!D80</f>
        <v>913.50270818974241</v>
      </c>
      <c r="K88" s="2">
        <f>$E88*$B$11+$B$10+'Станд.норм.распр.'!E81*$B$12+$B$2*'Станд.норм.распр.'!E80</f>
        <v>908.85197929263813</v>
      </c>
      <c r="L88" s="2">
        <f>$E88*$B$11+$B$10+'Станд.норм.распр.'!F81*$B$12+$B$2*'Станд.норм.распр.'!F80</f>
        <v>911.9156014402804</v>
      </c>
      <c r="M88" s="2">
        <f>$E88*$B$11+$B$10+'Станд.норм.распр.'!G81*$B$12+$B$2*'Станд.норм.распр.'!G80</f>
        <v>909.67002339265309</v>
      </c>
      <c r="N88" s="2">
        <f>$E88*$B$11+$B$10+'Станд.норм.распр.'!H81*$B$12+$B$2*'Станд.норм.распр.'!H80</f>
        <v>913.02873048288166</v>
      </c>
      <c r="O88" s="2">
        <f>$E88*$B$11+$B$10+'Станд.норм.распр.'!I81*$B$12+$B$2*'Станд.норм.распр.'!I80</f>
        <v>915.69046176981647</v>
      </c>
      <c r="P88" s="2">
        <f>$E88*$B$11+$B$10+'Станд.норм.распр.'!J81*$B$12+$B$2*'Станд.норм.распр.'!J80</f>
        <v>911.65294239498326</v>
      </c>
      <c r="Q88" s="2">
        <f>$E88*$B$11+$B$10+'Станд.норм.распр.'!K81*$B$12+$B$2*'Станд.норм.распр.'!K80</f>
        <v>912.75331229506992</v>
      </c>
    </row>
    <row r="89" spans="3:17" x14ac:dyDescent="0.35">
      <c r="C89" s="4" t="s">
        <v>88</v>
      </c>
      <c r="D89" s="4" t="s">
        <v>5</v>
      </c>
      <c r="E89" s="4">
        <v>273</v>
      </c>
      <c r="F89" s="4"/>
      <c r="G89" s="4" t="s">
        <v>5</v>
      </c>
      <c r="H89" s="2">
        <f>$E89*$B$11+$B$10+'Станд.норм.распр.'!B82*$B$12+$B$2*'Станд.норм.распр.'!B81</f>
        <v>276.79586807058075</v>
      </c>
      <c r="I89" s="2">
        <f>$E89*$B$11+$B$10+'Станд.норм.распр.'!C82*$B$12+$B$2*'Станд.норм.распр.'!C81</f>
        <v>266.48278266147827</v>
      </c>
      <c r="J89" s="2">
        <f>$E89*$B$11+$B$10+'Станд.норм.распр.'!D82*$B$12+$B$2*'Станд.норм.распр.'!D81</f>
        <v>275.26913085093838</v>
      </c>
      <c r="K89" s="2">
        <f>$E89*$B$11+$B$10+'Станд.норм.распр.'!E82*$B$12+$B$2*'Станд.норм.распр.'!E81</f>
        <v>276.60760146172834</v>
      </c>
      <c r="L89" s="2">
        <f>$E89*$B$11+$B$10+'Станд.норм.распр.'!F82*$B$12+$B$2*'Станд.норм.распр.'!F81</f>
        <v>275.61389505390252</v>
      </c>
      <c r="M89" s="2">
        <f>$E89*$B$11+$B$10+'Станд.норм.распр.'!G82*$B$12+$B$2*'Станд.норм.распр.'!G81</f>
        <v>269.18412517115939</v>
      </c>
      <c r="N89" s="2">
        <f>$E89*$B$11+$B$10+'Станд.норм.распр.'!H82*$B$12+$B$2*'Станд.норм.распр.'!H81</f>
        <v>274.4068691648863</v>
      </c>
      <c r="O89" s="2">
        <f>$E89*$B$11+$B$10+'Станд.норм.распр.'!I82*$B$12+$B$2*'Станд.норм.распр.'!I81</f>
        <v>275.27065630092693</v>
      </c>
      <c r="P89" s="2">
        <f>$E89*$B$11+$B$10+'Станд.норм.распр.'!J82*$B$12+$B$2*'Станд.норм.распр.'!J81</f>
        <v>274.15251646598335</v>
      </c>
      <c r="Q89" s="2">
        <f>$E89*$B$11+$B$10+'Станд.норм.распр.'!K82*$B$12+$B$2*'Станд.норм.распр.'!K81</f>
        <v>273.9468217487738</v>
      </c>
    </row>
    <row r="90" spans="3:17" x14ac:dyDescent="0.35">
      <c r="C90" s="4" t="s">
        <v>89</v>
      </c>
      <c r="D90" s="4" t="s">
        <v>5</v>
      </c>
      <c r="E90" s="4">
        <v>403</v>
      </c>
      <c r="F90" s="4"/>
      <c r="G90" s="4" t="s">
        <v>5</v>
      </c>
      <c r="H90" s="2">
        <f>$E90*$B$11+$B$10+'Станд.норм.распр.'!B83*$B$12+$B$2*'Станд.норм.распр.'!B82</f>
        <v>408.51472863258095</v>
      </c>
      <c r="I90" s="2">
        <f>$E90*$B$11+$B$10+'Станд.норм.распр.'!C83*$B$12+$B$2*'Станд.норм.распр.'!C82</f>
        <v>405.56827457228792</v>
      </c>
      <c r="J90" s="2">
        <f>$E90*$B$11+$B$10+'Станд.норм.распр.'!D83*$B$12+$B$2*'Станд.норм.распр.'!D82</f>
        <v>408.79896391677903</v>
      </c>
      <c r="K90" s="2">
        <f>$E90*$B$11+$B$10+'Станд.норм.распр.'!E83*$B$12+$B$2*'Станд.норм.распр.'!E82</f>
        <v>399.21135225929902</v>
      </c>
      <c r="L90" s="2">
        <f>$E90*$B$11+$B$10+'Станд.норм.распр.'!F83*$B$12+$B$2*'Станд.норм.распр.'!F82</f>
        <v>408.4649299323064</v>
      </c>
      <c r="M90" s="2">
        <f>$E90*$B$11+$B$10+'Станд.норм.распр.'!G83*$B$12+$B$2*'Станд.норм.распр.'!G82</f>
        <v>404.47315495774092</v>
      </c>
      <c r="N90" s="2">
        <f>$E90*$B$11+$B$10+'Станд.норм.распр.'!H83*$B$12+$B$2*'Станд.норм.распр.'!H82</f>
        <v>407.91172477773216</v>
      </c>
      <c r="O90" s="2">
        <f>$E90*$B$11+$B$10+'Станд.норм.распр.'!I83*$B$12+$B$2*'Станд.норм.распр.'!I82</f>
        <v>406.09126858660602</v>
      </c>
      <c r="P90" s="2">
        <f>$E90*$B$11+$B$10+'Станд.норм.распр.'!J83*$B$12+$B$2*'Станд.норм.распр.'!J82</f>
        <v>406.46096919404226</v>
      </c>
      <c r="Q90" s="2">
        <f>$E90*$B$11+$B$10+'Станд.норм.распр.'!K83*$B$12+$B$2*'Станд.норм.распр.'!K82</f>
        <v>403.6638791000936</v>
      </c>
    </row>
    <row r="91" spans="3:17" x14ac:dyDescent="0.35">
      <c r="C91" s="4" t="s">
        <v>90</v>
      </c>
      <c r="D91" s="4" t="s">
        <v>5</v>
      </c>
      <c r="E91" s="4">
        <v>692</v>
      </c>
      <c r="F91" s="4"/>
      <c r="G91" s="4" t="s">
        <v>5</v>
      </c>
      <c r="H91" s="2">
        <f>$E91*$B$11+$B$10+'Станд.норм.распр.'!B84*$B$12+$B$2*'Станд.норм.распр.'!B83</f>
        <v>694.08568395060138</v>
      </c>
      <c r="I91" s="2">
        <f>$E91*$B$11+$B$10+'Станд.норм.распр.'!C84*$B$12+$B$2*'Станд.норм.распр.'!C83</f>
        <v>696.08637948162504</v>
      </c>
      <c r="J91" s="2">
        <f>$E91*$B$11+$B$10+'Станд.норм.распр.'!D84*$B$12+$B$2*'Станд.норм.распр.'!D83</f>
        <v>695.11050758277997</v>
      </c>
      <c r="K91" s="2">
        <f>$E91*$B$11+$B$10+'Станд.норм.распр.'!E84*$B$12+$B$2*'Станд.норм.распр.'!E83</f>
        <v>695.61564867084962</v>
      </c>
      <c r="L91" s="2">
        <f>$E91*$B$11+$B$10+'Станд.норм.распр.'!F84*$B$12+$B$2*'Станд.норм.распр.'!F83</f>
        <v>690.93279960411019</v>
      </c>
      <c r="M91" s="2">
        <f>$E91*$B$11+$B$10+'Станд.норм.распр.'!G84*$B$12+$B$2*'Станд.норм.распр.'!G83</f>
        <v>691.93719211993448</v>
      </c>
      <c r="N91" s="2">
        <f>$E91*$B$11+$B$10+'Станд.норм.распр.'!H84*$B$12+$B$2*'Станд.норм.распр.'!H83</f>
        <v>691.39225222583627</v>
      </c>
      <c r="O91" s="2">
        <f>$E91*$B$11+$B$10+'Станд.норм.распр.'!I84*$B$12+$B$2*'Станд.норм.распр.'!I83</f>
        <v>697.98255610889464</v>
      </c>
      <c r="P91" s="2">
        <f>$E91*$B$11+$B$10+'Станд.норм.распр.'!J84*$B$12+$B$2*'Станд.норм.распр.'!J83</f>
        <v>692.72794357947419</v>
      </c>
      <c r="Q91" s="2">
        <f>$E91*$B$11+$B$10+'Станд.норм.распр.'!K84*$B$12+$B$2*'Станд.норм.распр.'!K83</f>
        <v>692.95896901357924</v>
      </c>
    </row>
    <row r="92" spans="3:17" x14ac:dyDescent="0.35">
      <c r="C92" s="4" t="s">
        <v>91</v>
      </c>
      <c r="D92" s="4" t="s">
        <v>5</v>
      </c>
      <c r="E92" s="4">
        <v>429</v>
      </c>
      <c r="F92" s="4"/>
      <c r="G92" s="4" t="s">
        <v>5</v>
      </c>
      <c r="H92" s="2">
        <f>$E92*$B$11+$B$10+'Станд.норм.распр.'!B85*$B$12+$B$2*'Станд.норм.распр.'!B84</f>
        <v>433.16579701373121</v>
      </c>
      <c r="I92" s="2">
        <f>$E92*$B$11+$B$10+'Станд.норм.распр.'!C85*$B$12+$B$2*'Станд.норм.распр.'!C84</f>
        <v>426.42547175224172</v>
      </c>
      <c r="J92" s="2">
        <f>$E92*$B$11+$B$10+'Станд.норм.распр.'!D85*$B$12+$B$2*'Станд.норм.распр.'!D84</f>
        <v>432.97468898477382</v>
      </c>
      <c r="K92" s="2">
        <f>$E92*$B$11+$B$10+'Станд.норм.распр.'!E85*$B$12+$B$2*'Станд.норм.распр.'!E84</f>
        <v>431.87054604591685</v>
      </c>
      <c r="L92" s="2">
        <f>$E92*$B$11+$B$10+'Станд.норм.распр.'!F85*$B$12+$B$2*'Станд.норм.распр.'!F84</f>
        <v>425.68976557182032</v>
      </c>
      <c r="M92" s="2">
        <f>$E92*$B$11+$B$10+'Станд.норм.распр.'!G85*$B$12+$B$2*'Станд.норм.распр.'!G84</f>
        <v>433.31819603868644</v>
      </c>
      <c r="N92" s="2">
        <f>$E92*$B$11+$B$10+'Станд.норм.распр.'!H85*$B$12+$B$2*'Станд.норм.распр.'!H84</f>
        <v>429.06048981554341</v>
      </c>
      <c r="O92" s="2">
        <f>$E92*$B$11+$B$10+'Станд.норм.распр.'!I85*$B$12+$B$2*'Станд.норм.распр.'!I84</f>
        <v>432.12279212771682</v>
      </c>
      <c r="P92" s="2">
        <f>$E92*$B$11+$B$10+'Станд.норм.распр.'!J85*$B$12+$B$2*'Станд.норм.распр.'!J84</f>
        <v>434.23270023727673</v>
      </c>
      <c r="Q92" s="2">
        <f>$E92*$B$11+$B$10+'Станд.норм.распр.'!K85*$B$12+$B$2*'Станд.норм.распр.'!K84</f>
        <v>431.51175925364078</v>
      </c>
    </row>
    <row r="93" spans="3:17" x14ac:dyDescent="0.35">
      <c r="C93" s="4" t="s">
        <v>92</v>
      </c>
      <c r="D93" s="4" t="s">
        <v>5</v>
      </c>
      <c r="E93" s="4">
        <v>902</v>
      </c>
      <c r="F93" s="4"/>
      <c r="G93" s="4" t="s">
        <v>5</v>
      </c>
      <c r="H93" s="2">
        <f>$E93*$B$11+$B$10+'Станд.норм.распр.'!B86*$B$12+$B$2*'Станд.норм.распр.'!B85</f>
        <v>903.06226639723172</v>
      </c>
      <c r="I93" s="2">
        <f>$E93*$B$11+$B$10+'Станд.норм.распр.'!C86*$B$12+$B$2*'Станд.норм.распр.'!C85</f>
        <v>904.74462559496169</v>
      </c>
      <c r="J93" s="2">
        <f>$E93*$B$11+$B$10+'Станд.норм.распр.'!D86*$B$12+$B$2*'Станд.норм.распр.'!D85</f>
        <v>908.16538750869222</v>
      </c>
      <c r="K93" s="2">
        <f>$E93*$B$11+$B$10+'Станд.норм.распр.'!E86*$B$12+$B$2*'Станд.норм.распр.'!E85</f>
        <v>899.35300048592035</v>
      </c>
      <c r="L93" s="2">
        <f>$E93*$B$11+$B$10+'Станд.норм.распр.'!F86*$B$12+$B$2*'Станд.норм.распр.'!F85</f>
        <v>904.89296963778907</v>
      </c>
      <c r="M93" s="2">
        <f>$E93*$B$11+$B$10+'Станд.норм.распр.'!G86*$B$12+$B$2*'Станд.норм.распр.'!G85</f>
        <v>904.47992421059462</v>
      </c>
      <c r="N93" s="2">
        <f>$E93*$B$11+$B$10+'Станд.норм.распр.'!H86*$B$12+$B$2*'Станд.норм.распр.'!H85</f>
        <v>903.50452547636814</v>
      </c>
      <c r="O93" s="2">
        <f>$E93*$B$11+$B$10+'Станд.норм.распр.'!I86*$B$12+$B$2*'Станд.норм.распр.'!I85</f>
        <v>899.44471302215243</v>
      </c>
      <c r="P93" s="2">
        <f>$E93*$B$11+$B$10+'Станд.норм.распр.'!J86*$B$12+$B$2*'Станд.норм.распр.'!J85</f>
        <v>904.66279699240113</v>
      </c>
      <c r="Q93" s="2">
        <f>$E93*$B$11+$B$10+'Станд.норм.распр.'!K86*$B$12+$B$2*'Станд.норм.распр.'!K85</f>
        <v>903.28429747342307</v>
      </c>
    </row>
    <row r="94" spans="3:17" x14ac:dyDescent="0.35">
      <c r="C94" s="4" t="s">
        <v>93</v>
      </c>
      <c r="D94" s="4" t="s">
        <v>5</v>
      </c>
      <c r="E94" s="4">
        <v>283</v>
      </c>
      <c r="F94" s="4"/>
      <c r="G94" s="4" t="s">
        <v>5</v>
      </c>
      <c r="H94" s="2">
        <f>$E94*$B$11+$B$10+'Станд.норм.распр.'!B87*$B$12+$B$2*'Станд.норм.распр.'!B86</f>
        <v>284.17540299065877</v>
      </c>
      <c r="I94" s="2">
        <f>$E94*$B$11+$B$10+'Станд.норм.распр.'!C87*$B$12+$B$2*'Станд.норм.распр.'!C86</f>
        <v>287.27489090320887</v>
      </c>
      <c r="J94" s="2">
        <f>$E94*$B$11+$B$10+'Станд.норм.распр.'!D87*$B$12+$B$2*'Станд.норм.распр.'!D86</f>
        <v>281.74373702873709</v>
      </c>
      <c r="K94" s="2">
        <f>$E94*$B$11+$B$10+'Станд.норм.распр.'!E87*$B$12+$B$2*'Станд.норм.распр.'!E86</f>
        <v>289.42091459262883</v>
      </c>
      <c r="L94" s="2">
        <f>$E94*$B$11+$B$10+'Станд.норм.распр.'!F87*$B$12+$B$2*'Станд.норм.распр.'!F86</f>
        <v>285.34590969639248</v>
      </c>
      <c r="M94" s="2">
        <f>$E94*$B$11+$B$10+'Станд.норм.распр.'!G87*$B$12+$B$2*'Станд.норм.распр.'!G86</f>
        <v>287.918283598774</v>
      </c>
      <c r="N94" s="2">
        <f>$E94*$B$11+$B$10+'Станд.норм.распр.'!H87*$B$12+$B$2*'Станд.норм.распр.'!H86</f>
        <v>284.82839472068008</v>
      </c>
      <c r="O94" s="2">
        <f>$E94*$B$11+$B$10+'Станд.норм.распр.'!I87*$B$12+$B$2*'Станд.норм.распр.'!I86</f>
        <v>283.00082923684386</v>
      </c>
      <c r="P94" s="2">
        <f>$E94*$B$11+$B$10+'Станд.норм.распр.'!J87*$B$12+$B$2*'Станд.норм.распр.'!J86</f>
        <v>286.20553204396856</v>
      </c>
      <c r="Q94" s="2">
        <f>$E94*$B$11+$B$10+'Станд.норм.распр.'!K87*$B$12+$B$2*'Станд.норм.распр.'!K86</f>
        <v>284.58292006945703</v>
      </c>
    </row>
    <row r="95" spans="3:17" x14ac:dyDescent="0.35">
      <c r="C95" s="4" t="s">
        <v>94</v>
      </c>
      <c r="D95" s="4" t="s">
        <v>5</v>
      </c>
      <c r="E95" s="4">
        <v>677</v>
      </c>
      <c r="F95" s="4"/>
      <c r="G95" s="4" t="s">
        <v>5</v>
      </c>
      <c r="H95" s="2">
        <f>$E95*$B$11+$B$10+'Станд.норм.распр.'!B88*$B$12+$B$2*'Станд.норм.распр.'!B87</f>
        <v>681.68863686869736</v>
      </c>
      <c r="I95" s="2">
        <f>$E95*$B$11+$B$10+'Станд.норм.распр.'!C88*$B$12+$B$2*'Станд.норм.распр.'!C87</f>
        <v>675.02963816869305</v>
      </c>
      <c r="J95" s="2">
        <f>$E95*$B$11+$B$10+'Станд.норм.распр.'!D88*$B$12+$B$2*'Станд.норм.распр.'!D87</f>
        <v>680.21752736959024</v>
      </c>
      <c r="K95" s="2">
        <f>$E95*$B$11+$B$10+'Станд.норм.распр.'!E88*$B$12+$B$2*'Станд.норм.распр.'!E87</f>
        <v>678.65716586605413</v>
      </c>
      <c r="L95" s="2">
        <f>$E95*$B$11+$B$10+'Станд.норм.распр.'!F88*$B$12+$B$2*'Станд.норм.распр.'!F87</f>
        <v>678.64680987331087</v>
      </c>
      <c r="M95" s="2">
        <f>$E95*$B$11+$B$10+'Станд.норм.распр.'!G88*$B$12+$B$2*'Станд.норм.распр.'!G87</f>
        <v>681.20015135710128</v>
      </c>
      <c r="N95" s="2">
        <f>$E95*$B$11+$B$10+'Станд.норм.распр.'!H88*$B$12+$B$2*'Станд.норм.распр.'!H87</f>
        <v>677.26809835212771</v>
      </c>
      <c r="O95" s="2">
        <f>$E95*$B$11+$B$10+'Станд.норм.распр.'!I88*$B$12+$B$2*'Станд.норм.распр.'!I87</f>
        <v>678.83156885718927</v>
      </c>
      <c r="P95" s="2">
        <f>$E95*$B$11+$B$10+'Станд.норм.распр.'!J88*$B$12+$B$2*'Станд.норм.распр.'!J87</f>
        <v>684.53903237232589</v>
      </c>
      <c r="Q95" s="2">
        <f>$E95*$B$11+$B$10+'Станд.норм.распр.'!K88*$B$12+$B$2*'Станд.норм.распр.'!K87</f>
        <v>677.17405082568291</v>
      </c>
    </row>
    <row r="96" spans="3:17" x14ac:dyDescent="0.35">
      <c r="C96" s="4" t="s">
        <v>95</v>
      </c>
      <c r="D96" s="4" t="s">
        <v>5</v>
      </c>
      <c r="E96" s="4">
        <v>316</v>
      </c>
      <c r="F96" s="4"/>
      <c r="G96" s="4" t="s">
        <v>5</v>
      </c>
      <c r="H96" s="2">
        <f>$E96*$B$11+$B$10+'Станд.норм.распр.'!B89*$B$12+$B$2*'Станд.норм.распр.'!B88</f>
        <v>317.45477702567587</v>
      </c>
      <c r="I96" s="2">
        <f>$E96*$B$11+$B$10+'Станд.норм.распр.'!C89*$B$12+$B$2*'Станд.норм.распр.'!C88</f>
        <v>318.15092723515409</v>
      </c>
      <c r="J96" s="2">
        <f>$E96*$B$11+$B$10+'Станд.норм.распр.'!D89*$B$12+$B$2*'Станд.норм.распр.'!D88</f>
        <v>320.58215186477173</v>
      </c>
      <c r="K96" s="2">
        <f>$E96*$B$11+$B$10+'Станд.норм.распр.'!E89*$B$12+$B$2*'Станд.норм.распр.'!E88</f>
        <v>320.06415172720443</v>
      </c>
      <c r="L96" s="2">
        <f>$E96*$B$11+$B$10+'Станд.норм.распр.'!F89*$B$12+$B$2*'Станд.норм.распр.'!F88</f>
        <v>317.49322682368802</v>
      </c>
      <c r="M96" s="2">
        <f>$E96*$B$11+$B$10+'Станд.норм.распр.'!G89*$B$12+$B$2*'Станд.норм.распр.'!G88</f>
        <v>322.90481397719122</v>
      </c>
      <c r="N96" s="2">
        <f>$E96*$B$11+$B$10+'Станд.норм.распр.'!H89*$B$12+$B$2*'Станд.норм.распр.'!H88</f>
        <v>314.56732643416035</v>
      </c>
      <c r="O96" s="2">
        <f>$E96*$B$11+$B$10+'Станд.норм.распр.'!I89*$B$12+$B$2*'Станд.норм.распр.'!I88</f>
        <v>323.13792701894999</v>
      </c>
      <c r="P96" s="2">
        <f>$E96*$B$11+$B$10+'Станд.норм.распр.'!J89*$B$12+$B$2*'Станд.норм.распр.'!J88</f>
        <v>317.71140869092778</v>
      </c>
      <c r="Q96" s="2">
        <f>$E96*$B$11+$B$10+'Станд.норм.распр.'!K89*$B$12+$B$2*'Станд.норм.распр.'!K88</f>
        <v>318.30461956157524</v>
      </c>
    </row>
    <row r="97" spans="3:17" x14ac:dyDescent="0.35">
      <c r="C97" s="4" t="s">
        <v>96</v>
      </c>
      <c r="D97" s="4" t="s">
        <v>5</v>
      </c>
      <c r="E97" s="4">
        <v>305</v>
      </c>
      <c r="F97" s="4"/>
      <c r="G97" s="4" t="s">
        <v>5</v>
      </c>
      <c r="H97" s="2">
        <f>$E97*$B$11+$B$10+'Станд.норм.распр.'!B90*$B$12+$B$2*'Станд.норм.распр.'!B89</f>
        <v>304.56760621494323</v>
      </c>
      <c r="I97" s="2">
        <f>$E97*$B$11+$B$10+'Станд.норм.распр.'!C90*$B$12+$B$2*'Станд.норм.распр.'!C89</f>
        <v>308.98342218027392</v>
      </c>
      <c r="J97" s="2">
        <f>$E97*$B$11+$B$10+'Станд.норм.распр.'!D90*$B$12+$B$2*'Станд.норм.распр.'!D89</f>
        <v>306.22047936706804</v>
      </c>
      <c r="K97" s="2">
        <f>$E97*$B$11+$B$10+'Станд.норм.распр.'!E90*$B$12+$B$2*'Станд.норм.распр.'!E89</f>
        <v>306.33285950342542</v>
      </c>
      <c r="L97" s="2">
        <f>$E97*$B$11+$B$10+'Станд.норм.распр.'!F90*$B$12+$B$2*'Станд.норм.распр.'!F89</f>
        <v>308.53135601976828</v>
      </c>
      <c r="M97" s="2">
        <f>$E97*$B$11+$B$10+'Станд.норм.распр.'!G90*$B$12+$B$2*'Станд.норм.распр.'!G89</f>
        <v>303.6755140121677</v>
      </c>
      <c r="N97" s="2">
        <f>$E97*$B$11+$B$10+'Станд.норм.распр.'!H90*$B$12+$B$2*'Станд.норм.распр.'!H89</f>
        <v>306.59406341076829</v>
      </c>
      <c r="O97" s="2">
        <f>$E97*$B$11+$B$10+'Станд.норм.распр.'!I90*$B$12+$B$2*'Станд.норм.распр.'!I89</f>
        <v>308.54595886669995</v>
      </c>
      <c r="P97" s="2">
        <f>$E97*$B$11+$B$10+'Станд.норм.распр.'!J90*$B$12+$B$2*'Станд.норм.распр.'!J89</f>
        <v>310.5723328437598</v>
      </c>
      <c r="Q97" s="2">
        <f>$E97*$B$11+$B$10+'Станд.норм.распр.'!K90*$B$12+$B$2*'Станд.норм.распр.'!K89</f>
        <v>311.61063996226585</v>
      </c>
    </row>
    <row r="98" spans="3:17" x14ac:dyDescent="0.35">
      <c r="C98" s="4" t="s">
        <v>97</v>
      </c>
      <c r="D98" s="4" t="s">
        <v>5</v>
      </c>
      <c r="E98" s="4">
        <v>970</v>
      </c>
      <c r="F98" s="4"/>
      <c r="G98" s="4" t="s">
        <v>5</v>
      </c>
      <c r="H98" s="2">
        <f>$E98*$B$11+$B$10+'Станд.норм.распр.'!B91*$B$12+$B$2*'Станд.норм.распр.'!B90</f>
        <v>970.63664720578527</v>
      </c>
      <c r="I98" s="2">
        <f>$E98*$B$11+$B$10+'Станд.норм.распр.'!C91*$B$12+$B$2*'Станд.норм.распр.'!C90</f>
        <v>970.55342366572586</v>
      </c>
      <c r="J98" s="2">
        <f>$E98*$B$11+$B$10+'Станд.норм.распр.'!D91*$B$12+$B$2*'Станд.норм.распр.'!D90</f>
        <v>971.1442421105603</v>
      </c>
      <c r="K98" s="2">
        <f>$E98*$B$11+$B$10+'Станд.норм.распр.'!E91*$B$12+$B$2*'Станд.норм.распр.'!E90</f>
        <v>969.41952401665037</v>
      </c>
      <c r="L98" s="2">
        <f>$E98*$B$11+$B$10+'Станд.норм.распр.'!F91*$B$12+$B$2*'Станд.норм.распр.'!F90</f>
        <v>972.56235899137391</v>
      </c>
      <c r="M98" s="2">
        <f>$E98*$B$11+$B$10+'Станд.норм.распр.'!G91*$B$12+$B$2*'Станд.норм.распр.'!G90</f>
        <v>967.83199314656667</v>
      </c>
      <c r="N98" s="2">
        <f>$E98*$B$11+$B$10+'Станд.норм.распр.'!H91*$B$12+$B$2*'Станд.норм.распр.'!H90</f>
        <v>969.98469661982381</v>
      </c>
      <c r="O98" s="2">
        <f>$E98*$B$11+$B$10+'Станд.норм.распр.'!I91*$B$12+$B$2*'Станд.норм.распр.'!I90</f>
        <v>974.25995722757943</v>
      </c>
      <c r="P98" s="2">
        <f>$E98*$B$11+$B$10+'Станд.норм.распр.'!J91*$B$12+$B$2*'Станд.норм.распр.'!J90</f>
        <v>972.84161592894816</v>
      </c>
      <c r="Q98" s="2">
        <f>$E98*$B$11+$B$10+'Станд.норм.распр.'!K91*$B$12+$B$2*'Станд.норм.распр.'!K90</f>
        <v>971.92916218616301</v>
      </c>
    </row>
    <row r="99" spans="3:17" x14ac:dyDescent="0.35">
      <c r="C99" s="4" t="s">
        <v>98</v>
      </c>
      <c r="D99" s="4" t="s">
        <v>5</v>
      </c>
      <c r="E99" s="4">
        <v>362</v>
      </c>
      <c r="F99" s="4"/>
      <c r="G99" s="4" t="s">
        <v>5</v>
      </c>
      <c r="H99" s="2">
        <f>$E99*$B$11+$B$10+'Станд.норм.распр.'!B92*$B$12+$B$2*'Станд.норм.распр.'!B91</f>
        <v>358.20576796183013</v>
      </c>
      <c r="I99" s="2">
        <f>$E99*$B$11+$B$10+'Станд.норм.распр.'!C92*$B$12+$B$2*'Станд.норм.распр.'!C91</f>
        <v>358.20467338495655</v>
      </c>
      <c r="J99" s="2">
        <f>$E99*$B$11+$B$10+'Станд.норм.распр.'!D92*$B$12+$B$2*'Станд.норм.распр.'!D91</f>
        <v>359.6780686716229</v>
      </c>
      <c r="K99" s="2">
        <f>$E99*$B$11+$B$10+'Станд.норм.распр.'!E92*$B$12+$B$2*'Станд.норм.распр.'!E91</f>
        <v>365.38480891109793</v>
      </c>
      <c r="L99" s="2">
        <f>$E99*$B$11+$B$10+'Станд.норм.распр.'!F92*$B$12+$B$2*'Станд.норм.распр.'!F91</f>
        <v>364.84588441495725</v>
      </c>
      <c r="M99" s="2">
        <f>$E99*$B$11+$B$10+'Станд.норм.распр.'!G92*$B$12+$B$2*'Станд.норм.распр.'!G91</f>
        <v>367.89243905374315</v>
      </c>
      <c r="N99" s="2">
        <f>$E99*$B$11+$B$10+'Станд.норм.распр.'!H92*$B$12+$B$2*'Станд.норм.распр.'!H91</f>
        <v>367.35619632399175</v>
      </c>
      <c r="O99" s="2">
        <f>$E99*$B$11+$B$10+'Станд.норм.распр.'!I92*$B$12+$B$2*'Станд.норм.распр.'!I91</f>
        <v>367.46953765983926</v>
      </c>
      <c r="P99" s="2">
        <f>$E99*$B$11+$B$10+'Станд.норм.распр.'!J92*$B$12+$B$2*'Станд.норм.распр.'!J91</f>
        <v>365.0704677455069</v>
      </c>
      <c r="Q99" s="2">
        <f>$E99*$B$11+$B$10+'Станд.норм.распр.'!K92*$B$12+$B$2*'Станд.норм.распр.'!K91</f>
        <v>363.52189455143525</v>
      </c>
    </row>
    <row r="100" spans="3:17" x14ac:dyDescent="0.35">
      <c r="C100" s="4" t="s">
        <v>99</v>
      </c>
      <c r="D100" s="4" t="s">
        <v>5</v>
      </c>
      <c r="E100" s="4">
        <v>836</v>
      </c>
      <c r="F100" s="4"/>
      <c r="G100" s="4" t="s">
        <v>5</v>
      </c>
      <c r="H100" s="2">
        <f>$E100*$B$11+$B$10+'Станд.норм.распр.'!B93*$B$12+$B$2*'Станд.норм.распр.'!B92</f>
        <v>844.88889849698171</v>
      </c>
      <c r="I100" s="2">
        <f>$E100*$B$11+$B$10+'Станд.норм.распр.'!C93*$B$12+$B$2*'Станд.норм.распр.'!C92</f>
        <v>841.43406463798601</v>
      </c>
      <c r="J100" s="2">
        <f>$E100*$B$11+$B$10+'Станд.норм.распр.'!D93*$B$12+$B$2*'Станд.норм.распр.'!D92</f>
        <v>832.74526872897695</v>
      </c>
      <c r="K100" s="2">
        <f>$E100*$B$11+$B$10+'Станд.норм.распр.'!E93*$B$12+$B$2*'Станд.норм.распр.'!E92</f>
        <v>840.75134607363725</v>
      </c>
      <c r="L100" s="2">
        <f>$E100*$B$11+$B$10+'Станд.норм.распр.'!F93*$B$12+$B$2*'Станд.норм.распр.'!F92</f>
        <v>836.71560157771455</v>
      </c>
      <c r="M100" s="2">
        <f>$E100*$B$11+$B$10+'Станд.норм.распр.'!G93*$B$12+$B$2*'Станд.норм.распр.'!G92</f>
        <v>842.91078026243486</v>
      </c>
      <c r="N100" s="2">
        <f>$E100*$B$11+$B$10+'Станд.норм.распр.'!H93*$B$12+$B$2*'Станд.норм.распр.'!H92</f>
        <v>833.82583298029499</v>
      </c>
      <c r="O100" s="2">
        <f>$E100*$B$11+$B$10+'Станд.норм.распр.'!I93*$B$12+$B$2*'Станд.норм.распр.'!I92</f>
        <v>842.06270408650744</v>
      </c>
      <c r="P100" s="2">
        <f>$E100*$B$11+$B$10+'Станд.норм.распр.'!J93*$B$12+$B$2*'Станд.норм.распр.'!J92</f>
        <v>836.69944654064022</v>
      </c>
      <c r="Q100" s="2">
        <f>$E100*$B$11+$B$10+'Станд.норм.распр.'!K93*$B$12+$B$2*'Станд.норм.распр.'!K92</f>
        <v>841.79248695026035</v>
      </c>
    </row>
    <row r="101" spans="3:17" x14ac:dyDescent="0.35">
      <c r="C101" s="4" t="s">
        <v>100</v>
      </c>
      <c r="D101" s="4" t="s">
        <v>5</v>
      </c>
      <c r="E101" s="4">
        <v>66</v>
      </c>
      <c r="F101" s="4"/>
      <c r="G101" s="4" t="s">
        <v>5</v>
      </c>
      <c r="H101" s="2">
        <f>$E101*$B$11+$B$10+'Станд.норм.распр.'!B94*$B$12+$B$2*'Станд.норм.распр.'!B93</f>
        <v>71.150452357658651</v>
      </c>
      <c r="I101" s="2">
        <f>$E101*$B$11+$B$10+'Станд.норм.распр.'!C94*$B$12+$B$2*'Станд.норм.распр.'!C93</f>
        <v>71.321446001791628</v>
      </c>
      <c r="J101" s="2">
        <f>$E101*$B$11+$B$10+'Станд.норм.распр.'!D94*$B$12+$B$2*'Станд.норм.распр.'!D93</f>
        <v>62.382345486080162</v>
      </c>
      <c r="K101" s="2">
        <f>$E101*$B$11+$B$10+'Станд.норм.распр.'!E94*$B$12+$B$2*'Станд.норм.распр.'!E93</f>
        <v>70.351483090023976</v>
      </c>
      <c r="L101" s="2">
        <f>$E101*$B$11+$B$10+'Станд.норм.распр.'!F94*$B$12+$B$2*'Станд.норм.распр.'!F93</f>
        <v>70.65965650214639</v>
      </c>
      <c r="M101" s="2">
        <f>$E101*$B$11+$B$10+'Станд.норм.распр.'!G94*$B$12+$B$2*'Станд.норм.распр.'!G93</f>
        <v>68.45023080019746</v>
      </c>
      <c r="N101" s="2">
        <f>$E101*$B$11+$B$10+'Станд.норм.распр.'!H94*$B$12+$B$2*'Станд.норм.распр.'!H93</f>
        <v>68.487077159050386</v>
      </c>
      <c r="O101" s="2">
        <f>$E101*$B$11+$B$10+'Станд.норм.распр.'!I94*$B$12+$B$2*'Станд.норм.распр.'!I93</f>
        <v>70.128157189468041</v>
      </c>
      <c r="P101" s="2">
        <f>$E101*$B$11+$B$10+'Станд.норм.распр.'!J94*$B$12+$B$2*'Станд.норм.распр.'!J93</f>
        <v>58.363824508676771</v>
      </c>
      <c r="Q101" s="2">
        <f>$E101*$B$11+$B$10+'Станд.норм.распр.'!K94*$B$12+$B$2*'Станд.норм.распр.'!K93</f>
        <v>69.65933306561783</v>
      </c>
    </row>
    <row r="102" spans="3:17" x14ac:dyDescent="0.35">
      <c r="C102" s="4" t="s">
        <v>101</v>
      </c>
      <c r="D102" s="4" t="s">
        <v>5</v>
      </c>
      <c r="E102" s="4">
        <v>590</v>
      </c>
      <c r="F102" s="4"/>
      <c r="G102" s="4" t="s">
        <v>5</v>
      </c>
      <c r="H102" s="2">
        <f>$E102*$B$11+$B$10+'Станд.норм.распр.'!B95*$B$12+$B$2*'Станд.норм.распр.'!B94</f>
        <v>591.60990180625231</v>
      </c>
      <c r="I102" s="2">
        <f>$E102*$B$11+$B$10+'Станд.норм.распр.'!C95*$B$12+$B$2*'Станд.норм.распр.'!C94</f>
        <v>593.34919287120283</v>
      </c>
      <c r="J102" s="2">
        <f>$E102*$B$11+$B$10+'Станд.норм.распр.'!D95*$B$12+$B$2*'Станд.норм.распр.'!D94</f>
        <v>594.17453741647182</v>
      </c>
      <c r="K102" s="2">
        <f>$E102*$B$11+$B$10+'Станд.норм.распр.'!E95*$B$12+$B$2*'Станд.норм.распр.'!E94</f>
        <v>589.23937344242586</v>
      </c>
      <c r="L102" s="2">
        <f>$E102*$B$11+$B$10+'Станд.норм.распр.'!F95*$B$12+$B$2*'Станд.норм.распр.'!F94</f>
        <v>589.41157080279663</v>
      </c>
      <c r="M102" s="2">
        <f>$E102*$B$11+$B$10+'Станд.норм.распр.'!G95*$B$12+$B$2*'Станд.норм.распр.'!G94</f>
        <v>586.23226472572424</v>
      </c>
      <c r="N102" s="2">
        <f>$E102*$B$11+$B$10+'Станд.норм.распр.'!H95*$B$12+$B$2*'Станд.норм.распр.'!H94</f>
        <v>589.63499590699212</v>
      </c>
      <c r="O102" s="2">
        <f>$E102*$B$11+$B$10+'Станд.норм.распр.'!I95*$B$12+$B$2*'Станд.норм.распр.'!I94</f>
        <v>590.81918165556272</v>
      </c>
      <c r="P102" s="2">
        <f>$E102*$B$11+$B$10+'Станд.норм.распр.'!J95*$B$12+$B$2*'Станд.норм.распр.'!J94</f>
        <v>589.81278302179999</v>
      </c>
      <c r="Q102" s="2">
        <f>$E102*$B$11+$B$10+'Станд.норм.распр.'!K95*$B$12+$B$2*'Станд.норм.распр.'!K94</f>
        <v>589.63060703419615</v>
      </c>
    </row>
    <row r="103" spans="3:17" x14ac:dyDescent="0.35">
      <c r="C103" s="4" t="s">
        <v>102</v>
      </c>
      <c r="D103" s="4" t="s">
        <v>5</v>
      </c>
      <c r="E103" s="4">
        <v>852</v>
      </c>
      <c r="F103" s="4"/>
      <c r="G103" s="4" t="s">
        <v>5</v>
      </c>
      <c r="H103" s="2">
        <f>$E103*$B$11+$B$10+'Станд.норм.распр.'!B96*$B$12+$B$2*'Станд.норм.распр.'!B95</f>
        <v>851.80475354782538</v>
      </c>
      <c r="I103" s="2">
        <f>$E103*$B$11+$B$10+'Станд.норм.распр.'!C96*$B$12+$B$2*'Станд.норм.распр.'!C95</f>
        <v>857.2184091196541</v>
      </c>
      <c r="J103" s="2">
        <f>$E103*$B$11+$B$10+'Станд.норм.распр.'!D96*$B$12+$B$2*'Станд.норм.распр.'!D95</f>
        <v>848.35144729129388</v>
      </c>
      <c r="K103" s="2">
        <f>$E103*$B$11+$B$10+'Станд.норм.распр.'!E96*$B$12+$B$2*'Станд.норм.распр.'!E95</f>
        <v>851.51414679849404</v>
      </c>
      <c r="L103" s="2">
        <f>$E103*$B$11+$B$10+'Станд.норм.распр.'!F96*$B$12+$B$2*'Станд.норм.распр.'!F95</f>
        <v>855.43020702125796</v>
      </c>
      <c r="M103" s="2">
        <f>$E103*$B$11+$B$10+'Станд.норм.распр.'!G96*$B$12+$B$2*'Станд.норм.распр.'!G95</f>
        <v>855.20575350592844</v>
      </c>
      <c r="N103" s="2">
        <f>$E103*$B$11+$B$10+'Станд.норм.распр.'!H96*$B$12+$B$2*'Станд.норм.распр.'!H95</f>
        <v>851.52514554529625</v>
      </c>
      <c r="O103" s="2">
        <f>$E103*$B$11+$B$10+'Станд.норм.распр.'!I96*$B$12+$B$2*'Станд.норм.распр.'!I95</f>
        <v>847.98505383396696</v>
      </c>
      <c r="P103" s="2">
        <f>$E103*$B$11+$B$10+'Станд.норм.распр.'!J96*$B$12+$B$2*'Станд.норм.распр.'!J95</f>
        <v>856.49763706960948</v>
      </c>
      <c r="Q103" s="2">
        <f>$E103*$B$11+$B$10+'Станд.норм.распр.'!K96*$B$12+$B$2*'Станд.норм.распр.'!K95</f>
        <v>857.10461093754861</v>
      </c>
    </row>
    <row r="104" spans="3:17" x14ac:dyDescent="0.35">
      <c r="C104" s="4" t="s">
        <v>103</v>
      </c>
      <c r="D104" s="4" t="s">
        <v>5</v>
      </c>
      <c r="E104" s="4">
        <v>963</v>
      </c>
      <c r="F104" s="4"/>
      <c r="G104" s="4" t="s">
        <v>5</v>
      </c>
      <c r="H104" s="2">
        <f>$E104*$B$11+$B$10+'Станд.норм.распр.'!B97*$B$12+$B$2*'Станд.норм.распр.'!B96</f>
        <v>966.92649304153747</v>
      </c>
      <c r="I104" s="2">
        <f>$E104*$B$11+$B$10+'Станд.норм.распр.'!C97*$B$12+$B$2*'Станд.норм.распр.'!C96</f>
        <v>963.23193593329052</v>
      </c>
      <c r="J104" s="2">
        <f>$E104*$B$11+$B$10+'Станд.норм.распр.'!D97*$B$12+$B$2*'Станд.норм.распр.'!D96</f>
        <v>965.44708774516471</v>
      </c>
      <c r="K104" s="2">
        <f>$E104*$B$11+$B$10+'Станд.норм.распр.'!E97*$B$12+$B$2*'Станд.норм.распр.'!E96</f>
        <v>965.8402766979998</v>
      </c>
      <c r="L104" s="2">
        <f>$E104*$B$11+$B$10+'Станд.норм.распр.'!F97*$B$12+$B$2*'Станд.норм.распр.'!F96</f>
        <v>965.18099717635778</v>
      </c>
      <c r="M104" s="2">
        <f>$E104*$B$11+$B$10+'Станд.норм.распр.'!G97*$B$12+$B$2*'Станд.норм.распр.'!G96</f>
        <v>967.06594700102869</v>
      </c>
      <c r="N104" s="2">
        <f>$E104*$B$11+$B$10+'Станд.норм.распр.'!H97*$B$12+$B$2*'Станд.норм.распр.'!H96</f>
        <v>968.21400443681341</v>
      </c>
      <c r="O104" s="2">
        <f>$E104*$B$11+$B$10+'Станд.норм.распр.'!I97*$B$12+$B$2*'Станд.норм.распр.'!I96</f>
        <v>967.31828380492516</v>
      </c>
      <c r="P104" s="2">
        <f>$E104*$B$11+$B$10+'Станд.норм.распр.'!J97*$B$12+$B$2*'Станд.норм.распр.'!J96</f>
        <v>963.98835312706069</v>
      </c>
      <c r="Q104" s="2">
        <f>$E104*$B$11+$B$10+'Станд.норм.распр.'!K97*$B$12+$B$2*'Станд.норм.распр.'!K96</f>
        <v>963.20114817339345</v>
      </c>
    </row>
    <row r="105" spans="3:17" x14ac:dyDescent="0.35">
      <c r="C105" s="4" t="s">
        <v>104</v>
      </c>
      <c r="D105" s="4" t="s">
        <v>5</v>
      </c>
      <c r="E105" s="4">
        <v>802</v>
      </c>
      <c r="F105" s="4"/>
      <c r="G105" s="4" t="s">
        <v>5</v>
      </c>
      <c r="H105" s="2">
        <f>$E105*$B$11+$B$10+'Станд.норм.распр.'!B98*$B$12+$B$2*'Станд.норм.распр.'!B97</f>
        <v>801.1475958773226</v>
      </c>
      <c r="I105" s="2">
        <f>$E105*$B$11+$B$10+'Станд.норм.распр.'!C98*$B$12+$B$2*'Станд.норм.распр.'!C97</f>
        <v>809.7704210121301</v>
      </c>
      <c r="J105" s="2">
        <f>$E105*$B$11+$B$10+'Станд.норм.распр.'!D98*$B$12+$B$2*'Станд.норм.распр.'!D97</f>
        <v>804.16205308384087</v>
      </c>
      <c r="K105" s="2">
        <f>$E105*$B$11+$B$10+'Станд.норм.распр.'!E98*$B$12+$B$2*'Станд.норм.распр.'!E97</f>
        <v>803.74961054552114</v>
      </c>
      <c r="L105" s="2">
        <f>$E105*$B$11+$B$10+'Станд.норм.распр.'!F98*$B$12+$B$2*'Станд.норм.распр.'!F97</f>
        <v>804.55609267899126</v>
      </c>
      <c r="M105" s="2">
        <f>$E105*$B$11+$B$10+'Станд.норм.распр.'!G98*$B$12+$B$2*'Станд.норм.распр.'!G97</f>
        <v>808.44765305473993</v>
      </c>
      <c r="N105" s="2">
        <f>$E105*$B$11+$B$10+'Станд.норм.распр.'!H98*$B$12+$B$2*'Станд.норм.распр.'!H97</f>
        <v>807.37619485435425</v>
      </c>
      <c r="O105" s="2">
        <f>$E105*$B$11+$B$10+'Станд.норм.распр.'!I98*$B$12+$B$2*'Станд.норм.распр.'!I97</f>
        <v>802.93331278144615</v>
      </c>
      <c r="P105" s="2">
        <f>$E105*$B$11+$B$10+'Станд.норм.распр.'!J98*$B$12+$B$2*'Станд.норм.распр.'!J97</f>
        <v>801.62516154078185</v>
      </c>
      <c r="Q105" s="2">
        <f>$E105*$B$11+$B$10+'Станд.норм.распр.'!K98*$B$12+$B$2*'Станд.норм.распр.'!K97</f>
        <v>802.64268966121017</v>
      </c>
    </row>
    <row r="106" spans="3:17" x14ac:dyDescent="0.35">
      <c r="C106" s="4" t="s">
        <v>105</v>
      </c>
      <c r="D106" s="4" t="s">
        <v>5</v>
      </c>
      <c r="E106" s="4">
        <v>686</v>
      </c>
      <c r="F106" s="4"/>
      <c r="G106" s="4" t="s">
        <v>5</v>
      </c>
      <c r="H106" s="2">
        <f>$E106*$B$11+$B$10+'Станд.норм.распр.'!B99*$B$12+$B$2*'Станд.норм.распр.'!B98</f>
        <v>684.10033637509332</v>
      </c>
      <c r="I106" s="2">
        <f>$E106*$B$11+$B$10+'Станд.норм.распр.'!C99*$B$12+$B$2*'Станд.норм.распр.'!C98</f>
        <v>689.31316369333945</v>
      </c>
      <c r="J106" s="2">
        <f>$E106*$B$11+$B$10+'Станд.норм.распр.'!D99*$B$12+$B$2*'Станд.норм.распр.'!D98</f>
        <v>681.74538560914516</v>
      </c>
      <c r="K106" s="2">
        <f>$E106*$B$11+$B$10+'Станд.норм.распр.'!E99*$B$12+$B$2*'Станд.норм.распр.'!E98</f>
        <v>688.60476356844015</v>
      </c>
      <c r="L106" s="2">
        <f>$E106*$B$11+$B$10+'Станд.норм.распр.'!F99*$B$12+$B$2*'Станд.норм.распр.'!F98</f>
        <v>683.63465159957991</v>
      </c>
      <c r="M106" s="2">
        <f>$E106*$B$11+$B$10+'Станд.норм.распр.'!G99*$B$12+$B$2*'Станд.норм.распр.'!G98</f>
        <v>687.94152767612832</v>
      </c>
      <c r="N106" s="2">
        <f>$E106*$B$11+$B$10+'Станд.норм.распр.'!H99*$B$12+$B$2*'Станд.норм.распр.'!H98</f>
        <v>689.81687983058509</v>
      </c>
      <c r="O106" s="2">
        <f>$E106*$B$11+$B$10+'Станд.норм.распр.'!I99*$B$12+$B$2*'Станд.норм.распр.'!I98</f>
        <v>682.59240916621638</v>
      </c>
      <c r="P106" s="2">
        <f>$E106*$B$11+$B$10+'Станд.норм.распр.'!J99*$B$12+$B$2*'Станд.норм.распр.'!J98</f>
        <v>689.06930178844777</v>
      </c>
      <c r="Q106" s="2">
        <f>$E106*$B$11+$B$10+'Станд.норм.распр.'!K99*$B$12+$B$2*'Станд.норм.распр.'!K98</f>
        <v>685.16886668466032</v>
      </c>
    </row>
    <row r="107" spans="3:17" x14ac:dyDescent="0.35">
      <c r="C107" s="4" t="s">
        <v>106</v>
      </c>
      <c r="D107" s="4" t="s">
        <v>5</v>
      </c>
      <c r="E107" s="4">
        <v>256</v>
      </c>
      <c r="F107" s="4"/>
      <c r="G107" s="4" t="s">
        <v>5</v>
      </c>
      <c r="H107" s="2">
        <f>$E107*$B$11+$B$10+'Станд.норм.распр.'!B100*$B$12+$B$2*'Станд.норм.распр.'!B99</f>
        <v>254.42229795426829</v>
      </c>
      <c r="I107" s="2">
        <f>$E107*$B$11+$B$10+'Станд.норм.распр.'!C100*$B$12+$B$2*'Станд.норм.распр.'!C99</f>
        <v>266.61980265653983</v>
      </c>
      <c r="J107" s="2">
        <f>$E107*$B$11+$B$10+'Станд.норм.распр.'!D100*$B$12+$B$2*'Станд.норм.распр.'!D99</f>
        <v>260.03150375455152</v>
      </c>
      <c r="K107" s="2">
        <f>$E107*$B$11+$B$10+'Станд.норм.распр.'!E100*$B$12+$B$2*'Станд.норм.распр.'!E99</f>
        <v>257.46900220493262</v>
      </c>
      <c r="L107" s="2">
        <f>$E107*$B$11+$B$10+'Станд.норм.распр.'!F100*$B$12+$B$2*'Станд.норм.распр.'!F99</f>
        <v>253.68875227851095</v>
      </c>
      <c r="M107" s="2">
        <f>$E107*$B$11+$B$10+'Станд.норм.распр.'!G100*$B$12+$B$2*'Станд.норм.распр.'!G99</f>
        <v>255.16915499448078</v>
      </c>
      <c r="N107" s="2">
        <f>$E107*$B$11+$B$10+'Станд.норм.распр.'!H100*$B$12+$B$2*'Станд.норм.распр.'!H99</f>
        <v>257.79201561473019</v>
      </c>
      <c r="O107" s="2">
        <f>$E107*$B$11+$B$10+'Станд.норм.распр.'!I100*$B$12+$B$2*'Станд.норм.распр.'!I99</f>
        <v>259.65951269082143</v>
      </c>
      <c r="P107" s="2">
        <f>$E107*$B$11+$B$10+'Станд.норм.распр.'!J100*$B$12+$B$2*'Станд.норм.распр.'!J99</f>
        <v>252.3333930332301</v>
      </c>
      <c r="Q107" s="2">
        <f>$E107*$B$11+$B$10+'Станд.норм.распр.'!K100*$B$12+$B$2*'Станд.норм.распр.'!K99</f>
        <v>255.1338220348116</v>
      </c>
    </row>
    <row r="108" spans="3:17" x14ac:dyDescent="0.35">
      <c r="C108" s="4" t="s">
        <v>107</v>
      </c>
      <c r="D108" s="4" t="s">
        <v>5</v>
      </c>
      <c r="E108" s="4">
        <v>240</v>
      </c>
      <c r="F108" s="4"/>
      <c r="G108" s="4" t="s">
        <v>5</v>
      </c>
      <c r="H108" s="2">
        <f>$E108*$B$11+$B$10+'Станд.норм.распр.'!B101*$B$12+$B$2*'Станд.норм.распр.'!B100</f>
        <v>245.00837564282119</v>
      </c>
      <c r="I108" s="2">
        <f>$E108*$B$11+$B$10+'Станд.норм.распр.'!C101*$B$12+$B$2*'Станд.норм.распр.'!C100</f>
        <v>240.37945006220252</v>
      </c>
      <c r="J108" s="2">
        <f>$E108*$B$11+$B$10+'Станд.норм.распр.'!D101*$B$12+$B$2*'Станд.норм.распр.'!D100</f>
        <v>237.45921593077946</v>
      </c>
      <c r="K108" s="2">
        <f>$E108*$B$11+$B$10+'Станд.норм.распр.'!E101*$B$12+$B$2*'Станд.норм.распр.'!E100</f>
        <v>242.87452372099506</v>
      </c>
      <c r="L108" s="2">
        <f>$E108*$B$11+$B$10+'Станд.норм.распр.'!F101*$B$12+$B$2*'Станд.норм.распр.'!F100</f>
        <v>239.8065070536104</v>
      </c>
      <c r="M108" s="2">
        <f>$E108*$B$11+$B$10+'Станд.норм.распр.'!G101*$B$12+$B$2*'Станд.норм.распр.'!G100</f>
        <v>243.85791507951214</v>
      </c>
      <c r="N108" s="2">
        <f>$E108*$B$11+$B$10+'Станд.норм.распр.'!H101*$B$12+$B$2*'Станд.норм.распр.'!H100</f>
        <v>243.00462352747854</v>
      </c>
      <c r="O108" s="2">
        <f>$E108*$B$11+$B$10+'Станд.норм.распр.'!I101*$B$12+$B$2*'Станд.норм.распр.'!I100</f>
        <v>245.75773879568442</v>
      </c>
      <c r="P108" s="2">
        <f>$E108*$B$11+$B$10+'Станд.норм.распр.'!J101*$B$12+$B$2*'Станд.норм.распр.'!J100</f>
        <v>243.98935367734521</v>
      </c>
      <c r="Q108" s="2">
        <f>$E108*$B$11+$B$10+'Станд.норм.распр.'!K101*$B$12+$B$2*'Станд.норм.распр.'!K100</f>
        <v>242.19746812540689</v>
      </c>
    </row>
    <row r="109" spans="3:17" x14ac:dyDescent="0.35">
      <c r="C109" s="4" t="s">
        <v>108</v>
      </c>
      <c r="D109" s="4" t="s">
        <v>5</v>
      </c>
      <c r="E109" s="4">
        <v>629</v>
      </c>
      <c r="F109" s="4"/>
      <c r="G109" s="4" t="s">
        <v>5</v>
      </c>
      <c r="H109" s="2">
        <f>$E109*$B$11+$B$10+'Станд.норм.распр.'!B102*$B$12+$B$2*'Станд.норм.распр.'!B101</f>
        <v>636.19806290041163</v>
      </c>
      <c r="I109" s="2">
        <f>$E109*$B$11+$B$10+'Станд.норм.распр.'!C102*$B$12+$B$2*'Станд.норм.распр.'!C101</f>
        <v>630.16751744420094</v>
      </c>
      <c r="J109" s="2">
        <f>$E109*$B$11+$B$10+'Станд.норм.распр.'!D102*$B$12+$B$2*'Станд.норм.распр.'!D101</f>
        <v>625.25088989479093</v>
      </c>
      <c r="K109" s="2">
        <f>$E109*$B$11+$B$10+'Станд.норм.распр.'!E102*$B$12+$B$2*'Станд.норм.распр.'!E101</f>
        <v>635.42224216653801</v>
      </c>
      <c r="L109" s="2">
        <f>$E109*$B$11+$B$10+'Станд.норм.распр.'!F102*$B$12+$B$2*'Станд.норм.распр.'!F101</f>
        <v>627.52483024935009</v>
      </c>
      <c r="M109" s="2">
        <f>$E109*$B$11+$B$10+'Станд.норм.распр.'!G102*$B$12+$B$2*'Станд.норм.распр.'!G101</f>
        <v>628.33310528357197</v>
      </c>
      <c r="N109" s="2">
        <f>$E109*$B$11+$B$10+'Станд.норм.распр.'!H102*$B$12+$B$2*'Станд.норм.распр.'!H101</f>
        <v>633.95361793793199</v>
      </c>
      <c r="O109" s="2">
        <f>$E109*$B$11+$B$10+'Станд.норм.распр.'!I102*$B$12+$B$2*'Станд.норм.распр.'!I101</f>
        <v>631.62235573528562</v>
      </c>
      <c r="P109" s="2">
        <f>$E109*$B$11+$B$10+'Станд.норм.распр.'!J102*$B$12+$B$2*'Станд.норм.распр.'!J101</f>
        <v>625.99160668733271</v>
      </c>
      <c r="Q109" s="2">
        <f>$E109*$B$11+$B$10+'Станд.норм.распр.'!K102*$B$12+$B$2*'Станд.норм.распр.'!K101</f>
        <v>631.9932298473484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09"/>
  <sheetViews>
    <sheetView tabSelected="1" workbookViewId="0">
      <selection activeCell="U17" sqref="U17"/>
    </sheetView>
  </sheetViews>
  <sheetFormatPr defaultRowHeight="14.5" x14ac:dyDescent="0.35"/>
  <cols>
    <col min="1" max="1" width="16.1796875" customWidth="1"/>
    <col min="3" max="3" width="15" customWidth="1"/>
  </cols>
  <sheetData>
    <row r="1" spans="1:33" x14ac:dyDescent="0.35">
      <c r="A1" s="3" t="s">
        <v>209</v>
      </c>
      <c r="C1" s="3" t="s">
        <v>215</v>
      </c>
    </row>
    <row r="2" spans="1:33" x14ac:dyDescent="0.35">
      <c r="E2">
        <v>1</v>
      </c>
      <c r="H2">
        <v>2</v>
      </c>
      <c r="K2">
        <v>3</v>
      </c>
      <c r="N2">
        <v>4</v>
      </c>
      <c r="Q2">
        <v>5</v>
      </c>
      <c r="T2">
        <v>6</v>
      </c>
      <c r="W2">
        <v>7</v>
      </c>
      <c r="Z2">
        <v>8</v>
      </c>
      <c r="AC2">
        <v>9</v>
      </c>
      <c r="AF2">
        <v>10</v>
      </c>
    </row>
    <row r="3" spans="1:33" x14ac:dyDescent="0.35">
      <c r="E3" cm="1">
        <f t="array" ref="E3:F7">LINEST(H$10:H$109,$E$10:$E$109,1,1)</f>
        <v>5.3652010705404578</v>
      </c>
      <c r="F3">
        <v>23420.120178336903</v>
      </c>
      <c r="H3" cm="1">
        <f t="array" ref="H3:I7">LINEST(I$10:I$109,$E$10:$E$109,1,1)</f>
        <v>5.3652520158290118</v>
      </c>
      <c r="I3">
        <v>23419.296909159904</v>
      </c>
      <c r="K3" cm="1">
        <f t="array" ref="K3:L7">LINEST(J$10:J$109,$E$10:$E$109,1,1)</f>
        <v>5.3674352604707858</v>
      </c>
      <c r="L3">
        <v>23445.309518135848</v>
      </c>
      <c r="N3" s="5" cm="1">
        <f t="array" ref="N3:O7">LINEST(K$10:K$109,$E$10:$E$109,1,1)</f>
        <v>5.363090748281965</v>
      </c>
      <c r="O3">
        <v>23434.874350984628</v>
      </c>
      <c r="Q3" s="5" cm="1">
        <f t="array" ref="Q3:R7">LINEST(L$10:L$109,$E$10:$E$109,1,1)</f>
        <v>5.3697882657352771</v>
      </c>
      <c r="R3">
        <v>23433.115417616271</v>
      </c>
      <c r="T3" s="5" cm="1">
        <f t="array" ref="T3:U7">LINEST(M$10:M$109,$E$10:$E$109,1,1)</f>
        <v>5.3587139412791958</v>
      </c>
      <c r="U3">
        <v>23436.153730446396</v>
      </c>
      <c r="W3" cm="1">
        <f t="array" ref="W3:X7">LINEST(N$10:N$109,$E$10:$E$109,1,1)</f>
        <v>5.3594551423061612</v>
      </c>
      <c r="X3">
        <v>23438.437721874532</v>
      </c>
      <c r="Z3" cm="1">
        <f t="array" ref="Z3:AA7">LINEST(O$10:O$109,$E$10:$E$109,1,1)</f>
        <v>5.3638255854945394</v>
      </c>
      <c r="AA3">
        <v>23422.37031563924</v>
      </c>
      <c r="AC3" cm="1">
        <f t="array" ref="AC3:AD7">LINEST(P$10:P$109,$E$10:$E$109,1,1)</f>
        <v>5.369828402563682</v>
      </c>
      <c r="AD3">
        <v>23416.472798821935</v>
      </c>
      <c r="AF3" cm="1">
        <f t="array" ref="AF3:AG7">LINEST(Q$10:Q$109,$E$10:$E$109,1,1)</f>
        <v>5.3660402033504901</v>
      </c>
      <c r="AG3">
        <v>23424.496887480378</v>
      </c>
    </row>
    <row r="4" spans="1:33" x14ac:dyDescent="0.35">
      <c r="E4">
        <v>5.5422693069131261</v>
      </c>
      <c r="F4">
        <v>3319.6510532023426</v>
      </c>
      <c r="H4">
        <v>5.5422109595060727</v>
      </c>
      <c r="I4">
        <v>3319.6161048769277</v>
      </c>
      <c r="K4">
        <v>5.5438241754294983</v>
      </c>
      <c r="L4">
        <v>3320.5823722383066</v>
      </c>
      <c r="N4">
        <v>5.5403781145034969</v>
      </c>
      <c r="O4">
        <v>3318.5182863650102</v>
      </c>
      <c r="Q4">
        <v>5.5439972095994881</v>
      </c>
      <c r="R4">
        <v>3320.6860144528646</v>
      </c>
      <c r="T4">
        <v>5.5408484818426489</v>
      </c>
      <c r="U4">
        <v>3318.8000221209513</v>
      </c>
      <c r="W4">
        <v>5.5394973811290349</v>
      </c>
      <c r="X4">
        <v>3317.9907538125099</v>
      </c>
      <c r="Z4">
        <v>5.5416771859099425</v>
      </c>
      <c r="AA4">
        <v>3319.2963906980526</v>
      </c>
      <c r="AC4">
        <v>5.544360662657061</v>
      </c>
      <c r="AD4">
        <v>3320.9037118000247</v>
      </c>
      <c r="AF4">
        <v>5.5421275134035737</v>
      </c>
      <c r="AG4">
        <v>3319.5661231949298</v>
      </c>
    </row>
    <row r="5" spans="1:33" x14ac:dyDescent="0.35">
      <c r="E5">
        <v>9.4719081149864E-3</v>
      </c>
      <c r="F5">
        <v>15251.816602813382</v>
      </c>
      <c r="H5">
        <v>9.4722838458117659E-3</v>
      </c>
      <c r="I5">
        <v>15251.656036102824</v>
      </c>
      <c r="K5">
        <v>9.4744571794290969E-3</v>
      </c>
      <c r="L5">
        <v>15256.095458303787</v>
      </c>
      <c r="N5">
        <v>9.4709300975568261E-3</v>
      </c>
      <c r="O5">
        <v>15246.612214828061</v>
      </c>
      <c r="Q5">
        <v>9.4821008304001742E-3</v>
      </c>
      <c r="R5">
        <v>15256.571632462883</v>
      </c>
      <c r="T5">
        <v>9.4540339556264136E-3</v>
      </c>
      <c r="U5">
        <v>15247.906622586948</v>
      </c>
      <c r="W5">
        <v>9.4611946226578498E-3</v>
      </c>
      <c r="X5">
        <v>15244.188517393057</v>
      </c>
      <c r="Z5">
        <v>9.4691020985041615E-3</v>
      </c>
      <c r="AA5">
        <v>15250.187140142565</v>
      </c>
      <c r="AC5">
        <v>9.4810098720646031E-3</v>
      </c>
      <c r="AD5">
        <v>15257.571821928761</v>
      </c>
      <c r="AF5">
        <v>9.4753233726852012E-3</v>
      </c>
      <c r="AG5">
        <v>15251.426400085329</v>
      </c>
    </row>
    <row r="6" spans="1:33" x14ac:dyDescent="0.35">
      <c r="E6">
        <v>0.93712334145130283</v>
      </c>
      <c r="F6">
        <v>98</v>
      </c>
      <c r="H6">
        <v>0.93716087066568665</v>
      </c>
      <c r="I6">
        <v>98</v>
      </c>
      <c r="K6">
        <v>0.93737795084022812</v>
      </c>
      <c r="L6">
        <v>98</v>
      </c>
      <c r="N6">
        <v>0.93702565402949978</v>
      </c>
      <c r="O6">
        <v>98</v>
      </c>
      <c r="Q6">
        <v>0.93814143304048303</v>
      </c>
      <c r="R6">
        <v>98</v>
      </c>
      <c r="T6">
        <v>0.93533804529156428</v>
      </c>
      <c r="U6">
        <v>98</v>
      </c>
      <c r="W6">
        <v>0.93605325504360926</v>
      </c>
      <c r="X6">
        <v>98</v>
      </c>
      <c r="Z6">
        <v>0.93684306831758302</v>
      </c>
      <c r="AA6">
        <v>98</v>
      </c>
      <c r="AC6">
        <v>0.93803246249960692</v>
      </c>
      <c r="AD6">
        <v>98</v>
      </c>
      <c r="AF6">
        <v>0.93746446952227613</v>
      </c>
      <c r="AG6">
        <v>98</v>
      </c>
    </row>
    <row r="7" spans="1:33" x14ac:dyDescent="0.35">
      <c r="E7">
        <v>217991672.80622482</v>
      </c>
      <c r="F7">
        <v>22796555149.213684</v>
      </c>
      <c r="H7">
        <v>217995812.70750809</v>
      </c>
      <c r="I7">
        <v>22796075160.671989</v>
      </c>
      <c r="K7">
        <v>218173263.84072876</v>
      </c>
      <c r="L7">
        <v>22809347966.021988</v>
      </c>
      <c r="N7">
        <v>217820218.95026016</v>
      </c>
      <c r="O7">
        <v>22781000034.875736</v>
      </c>
      <c r="Q7">
        <v>218364593.71761703</v>
      </c>
      <c r="R7">
        <v>22810771841.694172</v>
      </c>
      <c r="T7">
        <v>217464838.78308868</v>
      </c>
      <c r="U7">
        <v>22784868324.370831</v>
      </c>
      <c r="W7">
        <v>217525001.09478378</v>
      </c>
      <c r="X7">
        <v>22773757788.274197</v>
      </c>
      <c r="Z7">
        <v>217879913.39725113</v>
      </c>
      <c r="AA7">
        <v>22791684365.318226</v>
      </c>
      <c r="AC7">
        <v>218367858.09026718</v>
      </c>
      <c r="AD7">
        <v>22813762794.328827</v>
      </c>
      <c r="AF7">
        <v>218059867.1823349</v>
      </c>
      <c r="AG7">
        <v>22795388709.247532</v>
      </c>
    </row>
    <row r="8" spans="1:33" x14ac:dyDescent="0.35">
      <c r="E8">
        <f>ABS(F3)/F4</f>
        <v>7.0549945771391824</v>
      </c>
      <c r="F8">
        <f>F7/(E7/F6)</f>
        <v>10248.384150934166</v>
      </c>
      <c r="H8">
        <f>ABS(I3)/I4</f>
        <v>7.054820849541624</v>
      </c>
      <c r="I8">
        <f>I7/(H7/I6)</f>
        <v>10247.973747749478</v>
      </c>
      <c r="K8">
        <f>ABS(L3)/L4</f>
        <v>7.0606016926880377</v>
      </c>
      <c r="L8">
        <f>L7/(K7/L6)</f>
        <v>10245.600498060954</v>
      </c>
      <c r="N8">
        <f>ABS(O3)/O4</f>
        <v>7.0618487917553034</v>
      </c>
      <c r="O8">
        <f>O7/(N7/O6)</f>
        <v>10249.452572296001</v>
      </c>
      <c r="Q8">
        <f>ABS(R3)/R4</f>
        <v>7.0567091605850747</v>
      </c>
      <c r="R8">
        <f>R7/(Q7/R6)</f>
        <v>10237.262380442762</v>
      </c>
      <c r="T8">
        <f>ABS(U3)/U4</f>
        <v>7.06163479999889</v>
      </c>
      <c r="U8">
        <f>U7/(T7/U6)</f>
        <v>10267.945421814029</v>
      </c>
      <c r="W8">
        <f>ABS(X3)/X4</f>
        <v>7.0640455206039343</v>
      </c>
      <c r="X8">
        <f>X7/(W7/X6)</f>
        <v>10260.09999778545</v>
      </c>
      <c r="Z8">
        <f>ABS(AA3)/AA4</f>
        <v>7.0564262900046364</v>
      </c>
      <c r="AA8">
        <f>AA7/(Z7/AA6)</f>
        <v>10251.450135877307</v>
      </c>
      <c r="AC8">
        <f>ABS(AD3)/AD4</f>
        <v>7.0512350947174971</v>
      </c>
      <c r="AD8">
        <f>AD7/(AC7/AD6)</f>
        <v>10238.45163567996</v>
      </c>
      <c r="AF8">
        <f>ABS(AG3)/AG4</f>
        <v>7.0564935350452895</v>
      </c>
      <c r="AG8">
        <f>AG7/(AF7/AG6)</f>
        <v>10244.654930649389</v>
      </c>
    </row>
    <row r="9" spans="1:33" x14ac:dyDescent="0.35">
      <c r="A9" s="3" t="s">
        <v>1</v>
      </c>
      <c r="B9" s="3" t="s">
        <v>217</v>
      </c>
      <c r="C9" s="3"/>
      <c r="D9" s="3"/>
      <c r="E9" s="3"/>
      <c r="F9" s="3"/>
      <c r="G9" s="3"/>
      <c r="H9" s="3">
        <v>1</v>
      </c>
      <c r="I9" s="3">
        <v>2</v>
      </c>
      <c r="J9" s="3">
        <v>3</v>
      </c>
      <c r="K9" s="3">
        <v>4</v>
      </c>
      <c r="L9" s="3">
        <v>5</v>
      </c>
      <c r="M9" s="3">
        <v>6</v>
      </c>
      <c r="N9" s="3">
        <v>7</v>
      </c>
      <c r="O9" s="3">
        <v>8</v>
      </c>
      <c r="P9" s="3">
        <v>9</v>
      </c>
      <c r="Q9" s="3">
        <v>10</v>
      </c>
    </row>
    <row r="10" spans="1:33" x14ac:dyDescent="0.35">
      <c r="A10" s="1" t="s">
        <v>2</v>
      </c>
      <c r="B10" s="2">
        <v>2</v>
      </c>
      <c r="C10" s="4" t="s">
        <v>9</v>
      </c>
      <c r="D10" s="4" t="s">
        <v>5</v>
      </c>
      <c r="E10" s="4">
        <v>212</v>
      </c>
      <c r="F10" s="4" t="s">
        <v>216</v>
      </c>
      <c r="G10" s="4" t="s">
        <v>5</v>
      </c>
      <c r="H10" s="2">
        <f>$E10*$B$11+$B$10+'Станд.норм.распр.'!B3*$B$12</f>
        <v>213.91564891388407</v>
      </c>
      <c r="I10" s="2">
        <f>$E10*$B$11+$B$10+'Станд.норм.распр.'!C3*$B$12</f>
        <v>208.89485617232276</v>
      </c>
      <c r="J10" s="2">
        <f>$E10*$B$11+$B$10+'Станд.норм.распр.'!D3*$B$12</f>
        <v>212.37545374248293</v>
      </c>
      <c r="K10" s="2">
        <f>$E10*$B$11+$B$10+'Станд.норм.распр.'!E3*$B$12</f>
        <v>215.19771243589639</v>
      </c>
      <c r="L10" s="2">
        <f>$E10*$B$11+$B$10+'Станд.норм.распр.'!F3*$B$12</f>
        <v>211.17976141558029</v>
      </c>
      <c r="M10" s="2">
        <f>$E10*$B$11+$B$10+'Станд.норм.распр.'!G3*$B$12</f>
        <v>215.14471163215057</v>
      </c>
      <c r="N10" s="2">
        <f>$E10*$B$11+$B$10+'Станд.норм.распр.'!H3*$B$12</f>
        <v>216.64779600911424</v>
      </c>
      <c r="O10" s="2">
        <f>$E10*$B$11+$B$10+'Станд.норм.распр.'!I3*$B$12</f>
        <v>207.63319147960283</v>
      </c>
      <c r="P10" s="2">
        <f>$E10*$B$11+$B$10+'Станд.норм.распр.'!J3*$B$12</f>
        <v>216.43456497628358</v>
      </c>
      <c r="Q10" s="2">
        <f>$E10*$B$11+$B$10+'Станд.норм.распр.'!K3*$B$12</f>
        <v>211.16007778260973</v>
      </c>
    </row>
    <row r="11" spans="1:33" x14ac:dyDescent="0.35">
      <c r="A11" s="1" t="s">
        <v>3</v>
      </c>
      <c r="B11" s="2">
        <v>1</v>
      </c>
      <c r="C11" s="4" t="s">
        <v>10</v>
      </c>
      <c r="D11" s="4" t="s">
        <v>5</v>
      </c>
      <c r="E11" s="4">
        <v>780</v>
      </c>
      <c r="F11" s="4"/>
      <c r="G11" s="4" t="s">
        <v>5</v>
      </c>
      <c r="H11" s="2">
        <f>$E11*$B$11+$B$10+'Станд.норм.распр.'!B4*$B$12+H10</f>
        <v>995.51432982925326</v>
      </c>
      <c r="I11" s="2">
        <f>$E11*$B$11+$B$10+'Станд.норм.распр.'!C4*$B$12+I10</f>
        <v>997.07195319287712</v>
      </c>
      <c r="J11" s="2">
        <f>$E11*$B$11+$B$10+'Станд.норм.распр.'!D4*$B$12+J10</f>
        <v>1000.5055389819026</v>
      </c>
      <c r="K11" s="2">
        <f>$E11*$B$11+$B$10+'Станд.норм.распр.'!E4*$B$12+K10</f>
        <v>1001.1072754558845</v>
      </c>
      <c r="L11" s="2">
        <f>$E11*$B$11+$B$10+'Станд.норм.распр.'!F4*$B$12+L10</f>
        <v>995.53322902304353</v>
      </c>
      <c r="M11" s="2">
        <f>$E11*$B$11+$B$10+'Станд.норм.распр.'!G4*$B$12+M10</f>
        <v>994.39789893485431</v>
      </c>
      <c r="N11" s="2">
        <f>$E11*$B$11+$B$10+'Станд.норм.распр.'!H4*$B$12+N10</f>
        <v>996.07516735725221</v>
      </c>
      <c r="O11" s="2">
        <f>$E11*$B$11+$B$10+'Станд.норм.распр.'!I4*$B$12+O10</f>
        <v>991.58796616838663</v>
      </c>
      <c r="P11" s="2">
        <f>$E11*$B$11+$B$10+'Станд.норм.распр.'!J4*$B$12+P10</f>
        <v>998.57518422586145</v>
      </c>
      <c r="Q11" s="2">
        <f>$E11*$B$11+$B$10+'Станд.норм.распр.'!K4*$B$12+Q10</f>
        <v>995.27077169559198</v>
      </c>
    </row>
    <row r="12" spans="1:33" x14ac:dyDescent="0.35">
      <c r="A12" s="1" t="s">
        <v>4</v>
      </c>
      <c r="B12" s="2">
        <v>3</v>
      </c>
      <c r="C12" s="4" t="s">
        <v>11</v>
      </c>
      <c r="D12" s="4" t="s">
        <v>5</v>
      </c>
      <c r="E12" s="4">
        <v>280</v>
      </c>
      <c r="F12" s="4"/>
      <c r="G12" s="4" t="s">
        <v>5</v>
      </c>
      <c r="H12" s="2">
        <f>$E12*$B$11+$B$10+'Станд.норм.распр.'!B5*$B$12+H11</f>
        <v>1275.5985485889396</v>
      </c>
      <c r="I12" s="2">
        <f>$E12*$B$11+$B$10+'Станд.норм.распр.'!C5*$B$12+I11</f>
        <v>1277.9161263986025</v>
      </c>
      <c r="J12" s="2">
        <f>$E12*$B$11+$B$10+'Станд.норм.распр.'!D5*$B$12+J11</f>
        <v>1285.309738521144</v>
      </c>
      <c r="K12" s="2">
        <f>$E12*$B$11+$B$10+'Станд.норм.распр.'!E5*$B$12+K11</f>
        <v>1289.3448629690538</v>
      </c>
      <c r="L12" s="2">
        <f>$E12*$B$11+$B$10+'Станд.норм.распр.'!F5*$B$12+L11</f>
        <v>1278.6532956225128</v>
      </c>
      <c r="M12" s="2">
        <f>$E12*$B$11+$B$10+'Станд.норм.распр.'!G5*$B$12+M11</f>
        <v>1276.2432655087905</v>
      </c>
      <c r="N12" s="2">
        <f>$E12*$B$11+$B$10+'Станд.норм.распр.'!H5*$B$12+N11</f>
        <v>1281.9691415319394</v>
      </c>
      <c r="O12" s="2">
        <f>$E12*$B$11+$B$10+'Станд.норм.распр.'!I5*$B$12+O11</f>
        <v>1270.2076199254661</v>
      </c>
      <c r="P12" s="2">
        <f>$E12*$B$11+$B$10+'Станд.норм.распр.'!J5*$B$12+P11</f>
        <v>1277.5353186932334</v>
      </c>
      <c r="Q12" s="2">
        <f>$E12*$B$11+$B$10+'Станд.норм.распр.'!K5*$B$12+Q11</f>
        <v>1275.1653676311689</v>
      </c>
    </row>
    <row r="13" spans="1:33" x14ac:dyDescent="0.35">
      <c r="C13" s="4" t="s">
        <v>12</v>
      </c>
      <c r="D13" s="4" t="s">
        <v>5</v>
      </c>
      <c r="E13" s="4">
        <v>888</v>
      </c>
      <c r="F13" s="4"/>
      <c r="G13" s="4" t="s">
        <v>5</v>
      </c>
      <c r="H13" s="2">
        <f>$E13*$B$11+$B$10+'Станд.норм.распр.'!B6*$B$12+H12</f>
        <v>2162.9194364035066</v>
      </c>
      <c r="I13" s="2">
        <f>$E13*$B$11+$B$10+'Станд.норм.распр.'!C6*$B$12+I12</f>
        <v>2174.3477091316599</v>
      </c>
      <c r="J13" s="2">
        <f>$E13*$B$11+$B$10+'Станд.норм.распр.'!D6*$B$12+J12</f>
        <v>2175.2263082984136</v>
      </c>
      <c r="K13" s="2">
        <f>$E13*$B$11+$B$10+'Станд.норм.распр.'!E6*$B$12+K12</f>
        <v>2178.4307116544078</v>
      </c>
      <c r="L13" s="2">
        <f>$E13*$B$11+$B$10+'Станд.норм.распр.'!F6*$B$12+L12</f>
        <v>2169.6122622885887</v>
      </c>
      <c r="M13" s="2">
        <f>$E13*$B$11+$B$10+'Станд.норм.распр.'!G6*$B$12+M12</f>
        <v>2167.1178265190683</v>
      </c>
      <c r="N13" s="2">
        <f>$E13*$B$11+$B$10+'Станд.норм.распр.'!H6*$B$12+N12</f>
        <v>2178.7063690544746</v>
      </c>
      <c r="O13" s="2">
        <f>$E13*$B$11+$B$10+'Станд.норм.распр.'!I6*$B$12+O12</f>
        <v>2161.1393358565401</v>
      </c>
      <c r="P13" s="2">
        <f>$E13*$B$11+$B$10+'Станд.норм.распр.'!J6*$B$12+P12</f>
        <v>2167.7416807673289</v>
      </c>
      <c r="Q13" s="2">
        <f>$E13*$B$11+$B$10+'Станд.норм.распр.'!K6*$B$12+Q12</f>
        <v>2165.2979446738464</v>
      </c>
    </row>
    <row r="14" spans="1:33" x14ac:dyDescent="0.35">
      <c r="C14" s="4" t="s">
        <v>13</v>
      </c>
      <c r="D14" s="4" t="s">
        <v>5</v>
      </c>
      <c r="E14" s="4">
        <v>314</v>
      </c>
      <c r="F14" s="4"/>
      <c r="G14" s="4" t="s">
        <v>5</v>
      </c>
      <c r="H14" s="2">
        <f>$E14*$B$11+$B$10+'Станд.норм.распр.'!B7*$B$12+H13</f>
        <v>2478.9314826608315</v>
      </c>
      <c r="I14" s="2">
        <f>$E14*$B$11+$B$10+'Станд.норм.распр.'!C7*$B$12+I13</f>
        <v>2490.5554525008338</v>
      </c>
      <c r="J14" s="2">
        <f>$E14*$B$11+$B$10+'Станд.норм.распр.'!D7*$B$12+J13</f>
        <v>2492.6154511791392</v>
      </c>
      <c r="K14" s="2">
        <f>$E14*$B$11+$B$10+'Станд.норм.распр.'!E7*$B$12+K13</f>
        <v>2494.3199556633626</v>
      </c>
      <c r="L14" s="2">
        <f>$E14*$B$11+$B$10+'Станд.норм.распр.'!F7*$B$12+L13</f>
        <v>2486.2510379343003</v>
      </c>
      <c r="M14" s="2">
        <f>$E14*$B$11+$B$10+'Станд.норм.распр.'!G7*$B$12+M13</f>
        <v>2482.8534500516835</v>
      </c>
      <c r="N14" s="2">
        <f>$E14*$B$11+$B$10+'Станд.норм.распр.'!H7*$B$12+N13</f>
        <v>2493.9067322177289</v>
      </c>
      <c r="O14" s="2">
        <f>$E14*$B$11+$B$10+'Станд.норм.распр.'!I7*$B$12+O13</f>
        <v>2478.239003626717</v>
      </c>
      <c r="P14" s="2">
        <f>$E14*$B$11+$B$10+'Станд.норм.распр.'!J7*$B$12+P13</f>
        <v>2483.8691238185274</v>
      </c>
      <c r="Q14" s="2">
        <f>$E14*$B$11+$B$10+'Станд.норм.распр.'!K7*$B$12+Q13</f>
        <v>2485.9024935227208</v>
      </c>
    </row>
    <row r="15" spans="1:33" x14ac:dyDescent="0.35">
      <c r="C15" s="4" t="s">
        <v>14</v>
      </c>
      <c r="D15" s="4" t="s">
        <v>5</v>
      </c>
      <c r="E15" s="4">
        <v>780</v>
      </c>
      <c r="F15" s="4"/>
      <c r="G15" s="4" t="s">
        <v>5</v>
      </c>
      <c r="H15" s="2">
        <f>$E15*$B$11+$B$10+'Станд.норм.распр.'!B8*$B$12+H14</f>
        <v>3258.4481051039038</v>
      </c>
      <c r="I15" s="2">
        <f>$E15*$B$11+$B$10+'Станд.норм.распр.'!C8*$B$12+I14</f>
        <v>3267.0888118140429</v>
      </c>
      <c r="J15" s="2">
        <f>$E15*$B$11+$B$10+'Станд.норм.распр.'!D8*$B$12+J14</f>
        <v>3276.3519573713129</v>
      </c>
      <c r="K15" s="2">
        <f>$E15*$B$11+$B$10+'Станд.норм.распр.'!E8*$B$12+K14</f>
        <v>3273.4929391757905</v>
      </c>
      <c r="L15" s="2">
        <f>$E15*$B$11+$B$10+'Станд.норм.распр.'!F8*$B$12+L14</f>
        <v>3270.05803792394</v>
      </c>
      <c r="M15" s="2">
        <f>$E15*$B$11+$B$10+'Станд.норм.распр.'!G8*$B$12+M14</f>
        <v>3265.4264078395645</v>
      </c>
      <c r="N15" s="2">
        <f>$E15*$B$11+$B$10+'Станд.норм.распр.'!H8*$B$12+N14</f>
        <v>3275.2785158055049</v>
      </c>
      <c r="O15" s="2">
        <f>$E15*$B$11+$B$10+'Станд.норм.распр.'!I8*$B$12+O14</f>
        <v>3257.8482035354828</v>
      </c>
      <c r="P15" s="2">
        <f>$E15*$B$11+$B$10+'Станд.норм.распр.'!J8*$B$12+P14</f>
        <v>3263.3457671482465</v>
      </c>
      <c r="Q15" s="2">
        <f>$E15*$B$11+$B$10+'Станд.норм.распр.'!K8*$B$12+Q14</f>
        <v>3270.6538491460524</v>
      </c>
    </row>
    <row r="16" spans="1:33" x14ac:dyDescent="0.35">
      <c r="C16" s="4" t="s">
        <v>15</v>
      </c>
      <c r="D16" s="4" t="s">
        <v>5</v>
      </c>
      <c r="E16" s="4">
        <v>993</v>
      </c>
      <c r="F16" s="4"/>
      <c r="G16" s="4" t="s">
        <v>5</v>
      </c>
      <c r="H16" s="2">
        <f>$E16*$B$11+$B$10+'Станд.норм.распр.'!B9*$B$12+H15</f>
        <v>4257.3341826969554</v>
      </c>
      <c r="I16" s="2">
        <f>$E16*$B$11+$B$10+'Станд.норм.распр.'!C9*$B$12+I15</f>
        <v>4259.3371083089878</v>
      </c>
      <c r="J16" s="2">
        <f>$E16*$B$11+$B$10+'Станд.норм.распр.'!D9*$B$12+J15</f>
        <v>4274.0578428070294</v>
      </c>
      <c r="K16" s="2">
        <f>$E16*$B$11+$B$10+'Станд.норм.распр.'!E9*$B$12+K15</f>
        <v>4271.9107884327386</v>
      </c>
      <c r="L16" s="2">
        <f>$E16*$B$11+$B$10+'Станд.норм.распр.'!F9*$B$12+L15</f>
        <v>4265.8161370007874</v>
      </c>
      <c r="M16" s="2">
        <f>$E16*$B$11+$B$10+'Станд.норм.распр.'!G9*$B$12+M15</f>
        <v>4260.208309873211</v>
      </c>
      <c r="N16" s="2">
        <f>$E16*$B$11+$B$10+'Станд.норм.распр.'!H9*$B$12+N15</f>
        <v>4272.0068877044396</v>
      </c>
      <c r="O16" s="2">
        <f>$E16*$B$11+$B$10+'Станд.норм.распр.'!I9*$B$12+O15</f>
        <v>4254.695813600425</v>
      </c>
      <c r="P16" s="2">
        <f>$E16*$B$11+$B$10+'Станд.норм.распр.'!J9*$B$12+P15</f>
        <v>4260.5760232347238</v>
      </c>
      <c r="Q16" s="2">
        <f>$E16*$B$11+$B$10+'Станд.норм.распр.'!K9*$B$12+Q15</f>
        <v>4266.2459847665887</v>
      </c>
    </row>
    <row r="17" spans="3:17" x14ac:dyDescent="0.35">
      <c r="C17" s="4" t="s">
        <v>16</v>
      </c>
      <c r="D17" s="4" t="s">
        <v>5</v>
      </c>
      <c r="E17" s="4">
        <v>326</v>
      </c>
      <c r="F17" s="4"/>
      <c r="G17" s="4" t="s">
        <v>5</v>
      </c>
      <c r="H17" s="2">
        <f>$E17*$B$11+$B$10+'Станд.норм.распр.'!B10*$B$12+H16</f>
        <v>4586.3328453961585</v>
      </c>
      <c r="I17" s="2">
        <f>$E17*$B$11+$B$10+'Станд.норм.распр.'!C10*$B$12+I16</f>
        <v>4580.8495916517713</v>
      </c>
      <c r="J17" s="2">
        <f>$E17*$B$11+$B$10+'Станд.норм.распр.'!D10*$B$12+J16</f>
        <v>4599.8763038042525</v>
      </c>
      <c r="K17" s="2">
        <f>$E17*$B$11+$B$10+'Станд.норм.распр.'!E10*$B$12+K16</f>
        <v>4601.2477695185808</v>
      </c>
      <c r="L17" s="2">
        <f>$E17*$B$11+$B$10+'Станд.норм.распр.'!F10*$B$12+L16</f>
        <v>4593.8896969322668</v>
      </c>
      <c r="M17" s="2">
        <f>$E17*$B$11+$B$10+'Станд.норм.распр.'!G10*$B$12+M16</f>
        <v>4593.6261789066193</v>
      </c>
      <c r="N17" s="2">
        <f>$E17*$B$11+$B$10+'Станд.норм.распр.'!H10*$B$12+N16</f>
        <v>4604.1627987330867</v>
      </c>
      <c r="O17" s="2">
        <f>$E17*$B$11+$B$10+'Станд.норм.распр.'!I10*$B$12+O16</f>
        <v>4583.5691774883016</v>
      </c>
      <c r="P17" s="2">
        <f>$E17*$B$11+$B$10+'Станд.норм.распр.'!J10*$B$12+P16</f>
        <v>4591.0682161751611</v>
      </c>
      <c r="Q17" s="2">
        <f>$E17*$B$11+$B$10+'Станд.норм.распр.'!K10*$B$12+Q16</f>
        <v>4590.8669345536182</v>
      </c>
    </row>
    <row r="18" spans="3:17" x14ac:dyDescent="0.35">
      <c r="C18" s="4" t="s">
        <v>17</v>
      </c>
      <c r="D18" s="4" t="s">
        <v>5</v>
      </c>
      <c r="E18" s="4">
        <v>906</v>
      </c>
      <c r="F18" s="4"/>
      <c r="G18" s="4" t="s">
        <v>5</v>
      </c>
      <c r="H18" s="2">
        <f>$E18*$B$11+$B$10+'Станд.норм.распр.'!B11*$B$12+H17</f>
        <v>5496.4197946762142</v>
      </c>
      <c r="I18" s="2">
        <f>$E18*$B$11+$B$10+'Станд.норм.распр.'!C11*$B$12+I17</f>
        <v>5488.0235294464655</v>
      </c>
      <c r="J18" s="2">
        <f>$E18*$B$11+$B$10+'Станд.норм.распр.'!D11*$B$12+J17</f>
        <v>5505.8578019585839</v>
      </c>
      <c r="K18" s="2">
        <f>$E18*$B$11+$B$10+'Станд.норм.распр.'!E11*$B$12+K17</f>
        <v>5509.3796576190216</v>
      </c>
      <c r="L18" s="2">
        <f>$E18*$B$11+$B$10+'Станд.норм.распр.'!F11*$B$12+L17</f>
        <v>5501.1526685739227</v>
      </c>
      <c r="M18" s="2">
        <f>$E18*$B$11+$B$10+'Станд.норм.распр.'!G11*$B$12+M17</f>
        <v>5504.8337643572013</v>
      </c>
      <c r="N18" s="2">
        <f>$E18*$B$11+$B$10+'Станд.норм.распр.'!H11*$B$12+N17</f>
        <v>5516.1382137169567</v>
      </c>
      <c r="O18" s="2">
        <f>$E18*$B$11+$B$10+'Станд.норм.распр.'!I11*$B$12+O17</f>
        <v>5493.9618738759891</v>
      </c>
      <c r="P18" s="2">
        <f>$E18*$B$11+$B$10+'Станд.норм.распр.'!J11*$B$12+P17</f>
        <v>5502.4655063043756</v>
      </c>
      <c r="Q18" s="2">
        <f>$E18*$B$11+$B$10+'Станд.норм.распр.'!K11*$B$12+Q17</f>
        <v>5499.8952388220205</v>
      </c>
    </row>
    <row r="19" spans="3:17" x14ac:dyDescent="0.35">
      <c r="C19" s="4" t="s">
        <v>18</v>
      </c>
      <c r="D19" s="4" t="s">
        <v>5</v>
      </c>
      <c r="E19" s="4">
        <v>790</v>
      </c>
      <c r="F19" s="4"/>
      <c r="G19" s="4" t="s">
        <v>5</v>
      </c>
      <c r="H19" s="2">
        <f>$E19*$B$11+$B$10+'Станд.норм.распр.'!B12*$B$12+H18</f>
        <v>6289.2163415047107</v>
      </c>
      <c r="I19" s="2">
        <f>$E19*$B$11+$B$10+'Станд.норм.распр.'!C12*$B$12+I18</f>
        <v>6273.5873901449522</v>
      </c>
      <c r="J19" s="2">
        <f>$E19*$B$11+$B$10+'Станд.норм.распр.'!D12*$B$12+J18</f>
        <v>6299.3887884961296</v>
      </c>
      <c r="K19" s="2">
        <f>$E19*$B$11+$B$10+'Станд.норм.распр.'!E12*$B$12+K18</f>
        <v>6305.8846577253134</v>
      </c>
      <c r="L19" s="2">
        <f>$E19*$B$11+$B$10+'Станд.норм.распр.'!F12*$B$12+L18</f>
        <v>6294.8677800401056</v>
      </c>
      <c r="M19" s="2">
        <f>$E19*$B$11+$B$10+'Станд.норм.распр.'!G12*$B$12+M18</f>
        <v>6299.6167226476828</v>
      </c>
      <c r="N19" s="2">
        <f>$E19*$B$11+$B$10+'Станд.норм.распр.'!H12*$B$12+N18</f>
        <v>6315.9032612019655</v>
      </c>
      <c r="O19" s="2">
        <f>$E19*$B$11+$B$10+'Станд.норм.распр.'!I12*$B$12+O18</f>
        <v>6289.5461197361001</v>
      </c>
      <c r="P19" s="2">
        <f>$E19*$B$11+$B$10+'Станд.норм.распр.'!J12*$B$12+P18</f>
        <v>6294.7515469355567</v>
      </c>
      <c r="Q19" s="2">
        <f>$E19*$B$11+$B$10+'Станд.норм.распр.'!K12*$B$12+Q18</f>
        <v>6291.014211304413</v>
      </c>
    </row>
    <row r="20" spans="3:17" x14ac:dyDescent="0.35">
      <c r="C20" s="4" t="s">
        <v>19</v>
      </c>
      <c r="D20" s="4" t="s">
        <v>5</v>
      </c>
      <c r="E20" s="4">
        <v>127</v>
      </c>
      <c r="F20" s="4"/>
      <c r="G20" s="4" t="s">
        <v>5</v>
      </c>
      <c r="H20" s="2">
        <f>$E20*$B$11+$B$10+'Станд.норм.распр.'!B13*$B$12+H19</f>
        <v>6417.5097869032179</v>
      </c>
      <c r="I20" s="2">
        <f>$E20*$B$11+$B$10+'Станд.норм.распр.'!C13*$B$12+I19</f>
        <v>6399.7481841546396</v>
      </c>
      <c r="J20" s="2">
        <f>$E20*$B$11+$B$10+'Станд.норм.распр.'!D13*$B$12+J19</f>
        <v>6428.1943840036256</v>
      </c>
      <c r="K20" s="2">
        <f>$E20*$B$11+$B$10+'Станд.норм.распр.'!E13*$B$12+K19</f>
        <v>6433.1342942444899</v>
      </c>
      <c r="L20" s="2">
        <f>$E20*$B$11+$B$10+'Станд.норм.распр.'!F13*$B$12+L19</f>
        <v>6425.5237720769364</v>
      </c>
      <c r="M20" s="2">
        <f>$E20*$B$11+$B$10+'Станд.норм.распр.'!G13*$B$12+M19</f>
        <v>6426.0595327744959</v>
      </c>
      <c r="N20" s="2">
        <f>$E20*$B$11+$B$10+'Станд.норм.распр.'!H13*$B$12+N19</f>
        <v>6445.5382817714271</v>
      </c>
      <c r="O20" s="2">
        <f>$E20*$B$11+$B$10+'Станд.норм.распр.'!I13*$B$12+O19</f>
        <v>6425.8599850894534</v>
      </c>
      <c r="P20" s="2">
        <f>$E20*$B$11+$B$10+'Станд.норм.распр.'!J13*$B$12+P19</f>
        <v>6422.5212052403658</v>
      </c>
      <c r="Q20" s="2">
        <f>$E20*$B$11+$B$10+'Станд.норм.распр.'!K13*$B$12+Q19</f>
        <v>6419.6381170553359</v>
      </c>
    </row>
    <row r="21" spans="3:17" x14ac:dyDescent="0.35">
      <c r="C21" s="4" t="s">
        <v>20</v>
      </c>
      <c r="D21" s="4" t="s">
        <v>5</v>
      </c>
      <c r="E21" s="4">
        <v>685</v>
      </c>
      <c r="F21" s="4"/>
      <c r="G21" s="4" t="s">
        <v>5</v>
      </c>
      <c r="H21" s="2">
        <f>$E21*$B$11+$B$10+'Станд.норм.распр.'!B14*$B$12+H20</f>
        <v>7103.6011675900954</v>
      </c>
      <c r="I21" s="2">
        <f>$E21*$B$11+$B$10+'Станд.норм.распр.'!C14*$B$12+I20</f>
        <v>7084.7256543843105</v>
      </c>
      <c r="J21" s="2">
        <f>$E21*$B$11+$B$10+'Станд.норм.распр.'!D14*$B$12+J20</f>
        <v>7115.2048272765387</v>
      </c>
      <c r="K21" s="2">
        <f>$E21*$B$11+$B$10+'Станд.норм.распр.'!E14*$B$12+K20</f>
        <v>7120.9455885295756</v>
      </c>
      <c r="L21" s="2">
        <f>$E21*$B$11+$B$10+'Станд.норм.распр.'!F14*$B$12+L20</f>
        <v>7114.0584216043935</v>
      </c>
      <c r="M21" s="2">
        <f>$E21*$B$11+$B$10+'Станд.норм.распр.'!G14*$B$12+M20</f>
        <v>7109.9376217248209</v>
      </c>
      <c r="N21" s="2">
        <f>$E21*$B$11+$B$10+'Станд.норм.распр.'!H14*$B$12+N20</f>
        <v>7133.9072747970349</v>
      </c>
      <c r="O21" s="2">
        <f>$E21*$B$11+$B$10+'Станд.норм.распр.'!I14*$B$12+O20</f>
        <v>7110.7519378060533</v>
      </c>
      <c r="P21" s="2">
        <f>$E21*$B$11+$B$10+'Станд.норм.распр.'!J14*$B$12+P20</f>
        <v>7106.8059952102194</v>
      </c>
      <c r="Q21" s="2">
        <f>$E21*$B$11+$B$10+'Станд.норм.распр.'!K14*$B$12+Q20</f>
        <v>7106.5482544313272</v>
      </c>
    </row>
    <row r="22" spans="3:17" x14ac:dyDescent="0.35">
      <c r="C22" s="4" t="s">
        <v>21</v>
      </c>
      <c r="D22" s="4" t="s">
        <v>5</v>
      </c>
      <c r="E22" s="4">
        <v>320</v>
      </c>
      <c r="F22" s="4"/>
      <c r="G22" s="4" t="s">
        <v>5</v>
      </c>
      <c r="H22" s="2">
        <f>$E22*$B$11+$B$10+'Станд.норм.распр.'!B15*$B$12+H21</f>
        <v>7426.0409583006112</v>
      </c>
      <c r="I22" s="2">
        <f>$E22*$B$11+$B$10+'Станд.норм.распр.'!C15*$B$12+I21</f>
        <v>7412.5793987535435</v>
      </c>
      <c r="J22" s="2">
        <f>$E22*$B$11+$B$10+'Станд.норм.распр.'!D15*$B$12+J21</f>
        <v>7438.9394337616541</v>
      </c>
      <c r="K22" s="2">
        <f>$E22*$B$11+$B$10+'Станд.норм.распр.'!E15*$B$12+K21</f>
        <v>7443.5860080869606</v>
      </c>
      <c r="L22" s="2">
        <f>$E22*$B$11+$B$10+'Станд.норм.распр.'!F15*$B$12+L21</f>
        <v>7430.9591303751222</v>
      </c>
      <c r="M22" s="2">
        <f>$E22*$B$11+$B$10+'Станд.норм.распр.'!G15*$B$12+M21</f>
        <v>7436.0326807367092</v>
      </c>
      <c r="N22" s="2">
        <f>$E22*$B$11+$B$10+'Станд.норм.распр.'!H15*$B$12+N21</f>
        <v>7454.7822979569319</v>
      </c>
      <c r="O22" s="2">
        <f>$E22*$B$11+$B$10+'Станд.норм.распр.'!I15*$B$12+O21</f>
        <v>7438.1674603431311</v>
      </c>
      <c r="P22" s="2">
        <f>$E22*$B$11+$B$10+'Станд.норм.распр.'!J15*$B$12+P21</f>
        <v>7428.2510215431976</v>
      </c>
      <c r="Q22" s="2">
        <f>$E22*$B$11+$B$10+'Станд.норм.распр.'!K15*$B$12+Q21</f>
        <v>7427.5728486485168</v>
      </c>
    </row>
    <row r="23" spans="3:17" x14ac:dyDescent="0.35">
      <c r="C23" s="4" t="s">
        <v>22</v>
      </c>
      <c r="D23" s="4" t="s">
        <v>5</v>
      </c>
      <c r="E23" s="4">
        <v>658</v>
      </c>
      <c r="F23" s="4"/>
      <c r="G23" s="4" t="s">
        <v>5</v>
      </c>
      <c r="H23" s="2">
        <f>$E23*$B$11+$B$10+'Станд.норм.распр.'!B16*$B$12+H22</f>
        <v>8086.0603510013898</v>
      </c>
      <c r="I23" s="2">
        <f>$E23*$B$11+$B$10+'Станд.норм.распр.'!C16*$B$12+I22</f>
        <v>8073.6045413909887</v>
      </c>
      <c r="J23" s="2">
        <f>$E23*$B$11+$B$10+'Станд.норм.распр.'!D16*$B$12+J22</f>
        <v>8098.9012213417591</v>
      </c>
      <c r="K23" s="2">
        <f>$E23*$B$11+$B$10+'Станд.норм.распр.'!E16*$B$12+K22</f>
        <v>8099.8654880882095</v>
      </c>
      <c r="L23" s="2">
        <f>$E23*$B$11+$B$10+'Станд.норм.распр.'!F16*$B$12+L22</f>
        <v>8096.2968911151984</v>
      </c>
      <c r="M23" s="2">
        <f>$E23*$B$11+$B$10+'Станд.норм.распр.'!G16*$B$12+M22</f>
        <v>8097.8955737232463</v>
      </c>
      <c r="N23" s="2">
        <f>$E23*$B$11+$B$10+'Станд.норм.распр.'!H16*$B$12+N22</f>
        <v>8114.9776233128214</v>
      </c>
      <c r="O23" s="2">
        <f>$E23*$B$11+$B$10+'Станд.норм.распр.'!I16*$B$12+O22</f>
        <v>8096.6724386366986</v>
      </c>
      <c r="P23" s="2">
        <f>$E23*$B$11+$B$10+'Станд.норм.распр.'!J16*$B$12+P22</f>
        <v>8086.8779528444575</v>
      </c>
      <c r="Q23" s="2">
        <f>$E23*$B$11+$B$10+'Станд.норм.распр.'!K16*$B$12+Q22</f>
        <v>8091.1519513160893</v>
      </c>
    </row>
    <row r="24" spans="3:17" x14ac:dyDescent="0.35">
      <c r="C24" s="4" t="s">
        <v>23</v>
      </c>
      <c r="D24" s="4" t="s">
        <v>5</v>
      </c>
      <c r="E24" s="4">
        <v>436</v>
      </c>
      <c r="F24" s="4"/>
      <c r="G24" s="4" t="s">
        <v>5</v>
      </c>
      <c r="H24" s="2">
        <f>$E24*$B$11+$B$10+'Станд.норм.распр.'!B17*$B$12+H23</f>
        <v>8523.4279122600128</v>
      </c>
      <c r="I24" s="2">
        <f>$E24*$B$11+$B$10+'Станд.норм.распр.'!C17*$B$12+I23</f>
        <v>8511.8557870286168</v>
      </c>
      <c r="J24" s="2">
        <f>$E24*$B$11+$B$10+'Станд.норм.распр.'!D17*$B$12+J23</f>
        <v>8536.228598850721</v>
      </c>
      <c r="K24" s="2">
        <f>$E24*$B$11+$B$10+'Станд.норм.распр.'!E17*$B$12+K23</f>
        <v>8539.2151532145363</v>
      </c>
      <c r="L24" s="2">
        <f>$E24*$B$11+$B$10+'Станд.норм.распр.'!F17*$B$12+L23</f>
        <v>8531.2528032534174</v>
      </c>
      <c r="M24" s="2">
        <f>$E24*$B$11+$B$10+'Станд.норм.распр.'!G17*$B$12+M23</f>
        <v>8535.9562790839846</v>
      </c>
      <c r="N24" s="2">
        <f>$E24*$B$11+$B$10+'Станд.норм.распр.'!H17*$B$12+N23</f>
        <v>8553.2286404399056</v>
      </c>
      <c r="O24" s="2">
        <f>$E24*$B$11+$B$10+'Станд.норм.распр.'!I17*$B$12+O23</f>
        <v>8534.4230347258417</v>
      </c>
      <c r="P24" s="2">
        <f>$E24*$B$11+$B$10+'Станд.норм.распр.'!J17*$B$12+P23</f>
        <v>8524.3919416131976</v>
      </c>
      <c r="Q24" s="2">
        <f>$E24*$B$11+$B$10+'Станд.норм.распр.'!K17*$B$12+Q23</f>
        <v>8528.7520189986535</v>
      </c>
    </row>
    <row r="25" spans="3:17" x14ac:dyDescent="0.35">
      <c r="C25" s="4" t="s">
        <v>24</v>
      </c>
      <c r="D25" s="4" t="s">
        <v>5</v>
      </c>
      <c r="E25" s="4">
        <v>686</v>
      </c>
      <c r="F25" s="4"/>
      <c r="G25" s="4" t="s">
        <v>5</v>
      </c>
      <c r="H25" s="2">
        <f>$E25*$B$11+$B$10+'Станд.норм.распр.'!B18*$B$12+H24</f>
        <v>9210.7324421251978</v>
      </c>
      <c r="I25" s="2">
        <f>$E25*$B$11+$B$10+'Станд.норм.распр.'!C18*$B$12+I24</f>
        <v>9200.4516674935876</v>
      </c>
      <c r="J25" s="2">
        <f>$E25*$B$11+$B$10+'Станд.норм.распр.'!D18*$B$12+J24</f>
        <v>9227.1893724503461</v>
      </c>
      <c r="K25" s="2">
        <f>$E25*$B$11+$B$10+'Станд.норм.распр.'!E18*$B$12+K24</f>
        <v>9227.6236516229692</v>
      </c>
      <c r="L25" s="2">
        <f>$E25*$B$11+$B$10+'Станд.норм.распр.'!F18*$B$12+L24</f>
        <v>9220.9536106416781</v>
      </c>
      <c r="M25" s="2">
        <f>$E25*$B$11+$B$10+'Станд.норм.распр.'!G18*$B$12+M24</f>
        <v>9222.1261142642907</v>
      </c>
      <c r="N25" s="2">
        <f>$E25*$B$11+$B$10+'Станд.норм.распр.'!H18*$B$12+N24</f>
        <v>9237.8016415601451</v>
      </c>
      <c r="O25" s="2">
        <f>$E25*$B$11+$B$10+'Станд.норм.распр.'!I18*$B$12+O24</f>
        <v>9224.0918711015984</v>
      </c>
      <c r="P25" s="2">
        <f>$E25*$B$11+$B$10+'Станд.норм.распр.'!J18*$B$12+P24</f>
        <v>9208.9213030100218</v>
      </c>
      <c r="Q25" s="2">
        <f>$E25*$B$11+$B$10+'Станд.норм.распр.'!K18*$B$12+Q24</f>
        <v>9216.3745400438929</v>
      </c>
    </row>
    <row r="26" spans="3:17" x14ac:dyDescent="0.35">
      <c r="C26" s="4" t="s">
        <v>25</v>
      </c>
      <c r="D26" s="4" t="s">
        <v>5</v>
      </c>
      <c r="E26" s="4">
        <v>797</v>
      </c>
      <c r="F26" s="4"/>
      <c r="G26" s="4" t="s">
        <v>5</v>
      </c>
      <c r="H26" s="2">
        <f>$E26*$B$11+$B$10+'Станд.норм.распр.'!B19*$B$12+H25</f>
        <v>10012.35997231862</v>
      </c>
      <c r="I26" s="2">
        <f>$E26*$B$11+$B$10+'Станд.норм.распр.'!C19*$B$12+I25</f>
        <v>10000.059955740027</v>
      </c>
      <c r="J26" s="2">
        <f>$E26*$B$11+$B$10+'Станд.норм.распр.'!D19*$B$12+J25</f>
        <v>10028.597873582214</v>
      </c>
      <c r="K26" s="2">
        <f>$E26*$B$11+$B$10+'Станд.норм.распр.'!E19*$B$12+K25</f>
        <v>10028.407316252298</v>
      </c>
      <c r="L26" s="2">
        <f>$E26*$B$11+$B$10+'Станд.норм.распр.'!F19*$B$12+L25</f>
        <v>10014.372908056714</v>
      </c>
      <c r="M26" s="2">
        <f>$E26*$B$11+$B$10+'Станд.норм.распр.'!G19*$B$12+M25</f>
        <v>10024.384974752422</v>
      </c>
      <c r="N26" s="2">
        <f>$E26*$B$11+$B$10+'Станд.норм.распр.'!H19*$B$12+N25</f>
        <v>10034.990369113031</v>
      </c>
      <c r="O26" s="2">
        <f>$E26*$B$11+$B$10+'Станд.норм.распр.'!I19*$B$12+O25</f>
        <v>10022.709992466218</v>
      </c>
      <c r="P26" s="2">
        <f>$E26*$B$11+$B$10+'Станд.норм.распр.'!J19*$B$12+P25</f>
        <v>10005.260949152813</v>
      </c>
      <c r="Q26" s="2">
        <f>$E26*$B$11+$B$10+'Станд.норм.распр.'!K19*$B$12+Q25</f>
        <v>10016.631641346947</v>
      </c>
    </row>
    <row r="27" spans="3:17" x14ac:dyDescent="0.35">
      <c r="C27" s="4" t="s">
        <v>26</v>
      </c>
      <c r="D27" s="4" t="s">
        <v>5</v>
      </c>
      <c r="E27" s="4">
        <v>464</v>
      </c>
      <c r="F27" s="4"/>
      <c r="G27" s="4" t="s">
        <v>5</v>
      </c>
      <c r="H27" s="2">
        <f>$E27*$B$11+$B$10+'Станд.норм.распр.'!B20*$B$12+H26</f>
        <v>10476.275656025726</v>
      </c>
      <c r="I27" s="2">
        <f>$E27*$B$11+$B$10+'Станд.норм.распр.'!C20*$B$12+I26</f>
        <v>10466.441138611961</v>
      </c>
      <c r="J27" s="2">
        <f>$E27*$B$11+$B$10+'Станд.норм.распр.'!D20*$B$12+J26</f>
        <v>10494.331883898602</v>
      </c>
      <c r="K27" s="2">
        <f>$E27*$B$11+$B$10+'Станд.норм.распр.'!E20*$B$12+K26</f>
        <v>10495.445119055992</v>
      </c>
      <c r="L27" s="2">
        <f>$E27*$B$11+$B$10+'Станд.норм.распр.'!F20*$B$12+L26</f>
        <v>10475.779505065409</v>
      </c>
      <c r="M27" s="2">
        <f>$E27*$B$11+$B$10+'Станд.норм.распр.'!G20*$B$12+M26</f>
        <v>10490.500553339123</v>
      </c>
      <c r="N27" s="2">
        <f>$E27*$B$11+$B$10+'Станд.норм.распр.'!H20*$B$12+N26</f>
        <v>10506.886295846532</v>
      </c>
      <c r="O27" s="2">
        <f>$E27*$B$11+$B$10+'Станд.норм.распр.'!I20*$B$12+O26</f>
        <v>10488.366721880928</v>
      </c>
      <c r="P27" s="2">
        <f>$E27*$B$11+$B$10+'Станд.норм.распр.'!J20*$B$12+P26</f>
        <v>10471.335658458222</v>
      </c>
      <c r="Q27" s="2">
        <f>$E27*$B$11+$B$10+'Станд.норм.распр.'!K20*$B$12+Q26</f>
        <v>10480.566560866995</v>
      </c>
    </row>
    <row r="28" spans="3:17" x14ac:dyDescent="0.35">
      <c r="C28" s="4" t="s">
        <v>27</v>
      </c>
      <c r="D28" s="4" t="s">
        <v>5</v>
      </c>
      <c r="E28" s="4">
        <v>514</v>
      </c>
      <c r="F28" s="4"/>
      <c r="G28" s="4" t="s">
        <v>5</v>
      </c>
      <c r="H28" s="2">
        <f>$E28*$B$11+$B$10+'Станд.норм.распр.'!B21*$B$12+H27</f>
        <v>10990.034492824037</v>
      </c>
      <c r="I28" s="2">
        <f>$E28*$B$11+$B$10+'Станд.норм.распр.'!C21*$B$12+I27</f>
        <v>10977.512473136216</v>
      </c>
      <c r="J28" s="2">
        <f>$E28*$B$11+$B$10+'Станд.норм.распр.'!D21*$B$12+J27</f>
        <v>11011.790122228689</v>
      </c>
      <c r="K28" s="2">
        <f>$E28*$B$11+$B$10+'Станд.норм.распр.'!E21*$B$12+K27</f>
        <v>11012.005461015491</v>
      </c>
      <c r="L28" s="2">
        <f>$E28*$B$11+$B$10+'Станд.норм.распр.'!F21*$B$12+L27</f>
        <v>10993.170438513829</v>
      </c>
      <c r="M28" s="2">
        <f>$E28*$B$11+$B$10+'Станд.норм.распр.'!G21*$B$12+M27</f>
        <v>11007.195314068071</v>
      </c>
      <c r="N28" s="2">
        <f>$E28*$B$11+$B$10+'Станд.норм.распр.'!H21*$B$12+N27</f>
        <v>11022.337404319216</v>
      </c>
      <c r="O28" s="2">
        <f>$E28*$B$11+$B$10+'Станд.норм.распр.'!I21*$B$12+O27</f>
        <v>11003.461223271501</v>
      </c>
      <c r="P28" s="2">
        <f>$E28*$B$11+$B$10+'Станд.норм.распр.'!J21*$B$12+P27</f>
        <v>10989.93200889953</v>
      </c>
      <c r="Q28" s="2">
        <f>$E28*$B$11+$B$10+'Станд.норм.распр.'!K21*$B$12+Q27</f>
        <v>11001.325419134446</v>
      </c>
    </row>
    <row r="29" spans="3:17" x14ac:dyDescent="0.35">
      <c r="C29" s="4" t="s">
        <v>28</v>
      </c>
      <c r="D29" s="4" t="s">
        <v>5</v>
      </c>
      <c r="E29" s="4">
        <v>724</v>
      </c>
      <c r="F29" s="4"/>
      <c r="G29" s="4" t="s">
        <v>5</v>
      </c>
      <c r="H29" s="2">
        <f>$E29*$B$11+$B$10+'Станд.норм.распр.'!B22*$B$12+H28</f>
        <v>11714.634357562973</v>
      </c>
      <c r="I29" s="2">
        <f>$E29*$B$11+$B$10+'Станд.норм.распр.'!C22*$B$12+I28</f>
        <v>11706.189532137359</v>
      </c>
      <c r="J29" s="2">
        <f>$E29*$B$11+$B$10+'Станд.норм.распр.'!D22*$B$12+J28</f>
        <v>11735.982576542228</v>
      </c>
      <c r="K29" s="2">
        <f>$E29*$B$11+$B$10+'Станд.норм.распр.'!E22*$B$12+K28</f>
        <v>11737.505725509182</v>
      </c>
      <c r="L29" s="2">
        <f>$E29*$B$11+$B$10+'Станд.норм.распр.'!F22*$B$12+L28</f>
        <v>11713.995775290998</v>
      </c>
      <c r="M29" s="2">
        <f>$E29*$B$11+$B$10+'Станд.норм.распр.'!G22*$B$12+M28</f>
        <v>11735.783001572345</v>
      </c>
      <c r="N29" s="2">
        <f>$E29*$B$11+$B$10+'Станд.норм.распр.'!H22*$B$12+N28</f>
        <v>11747.823702384892</v>
      </c>
      <c r="O29" s="2">
        <f>$E29*$B$11+$B$10+'Станд.норм.распр.'!I22*$B$12+O28</f>
        <v>11729.196157861879</v>
      </c>
      <c r="P29" s="2">
        <f>$E29*$B$11+$B$10+'Станд.норм.распр.'!J22*$B$12+P28</f>
        <v>11713.483057990801</v>
      </c>
      <c r="Q29" s="2">
        <f>$E29*$B$11+$B$10+'Станд.норм.распр.'!K22*$B$12+Q28</f>
        <v>11729.606520522226</v>
      </c>
    </row>
    <row r="30" spans="3:17" x14ac:dyDescent="0.35">
      <c r="C30" s="4" t="s">
        <v>29</v>
      </c>
      <c r="D30" s="4" t="s">
        <v>5</v>
      </c>
      <c r="E30" s="4">
        <v>63</v>
      </c>
      <c r="F30" s="4"/>
      <c r="G30" s="4" t="s">
        <v>5</v>
      </c>
      <c r="H30" s="2">
        <f>$E30*$B$11+$B$10+'Станд.норм.распр.'!B23*$B$12+H29</f>
        <v>11781.178693209004</v>
      </c>
      <c r="I30" s="2">
        <f>$E30*$B$11+$B$10+'Станд.норм.распр.'!C23*$B$12+I29</f>
        <v>11773.251413469698</v>
      </c>
      <c r="J30" s="2">
        <f>$E30*$B$11+$B$10+'Станд.норм.распр.'!D23*$B$12+J29</f>
        <v>11799.021836705069</v>
      </c>
      <c r="K30" s="2">
        <f>$E30*$B$11+$B$10+'Станд.норм.распр.'!E23*$B$12+K29</f>
        <v>11800.402964663735</v>
      </c>
      <c r="L30" s="2">
        <f>$E30*$B$11+$B$10+'Станд.норм.распр.'!F23*$B$12+L29</f>
        <v>11780.339601461339</v>
      </c>
      <c r="M30" s="2">
        <f>$E30*$B$11+$B$10+'Станд.норм.распр.'!G23*$B$12+M29</f>
        <v>11802.023336340571</v>
      </c>
      <c r="N30" s="2">
        <f>$E30*$B$11+$B$10+'Станд.норм.распр.'!H23*$B$12+N29</f>
        <v>11811.914598765841</v>
      </c>
      <c r="O30" s="2">
        <f>$E30*$B$11+$B$10+'Станд.норм.распр.'!I23*$B$12+O29</f>
        <v>11789.237151642883</v>
      </c>
      <c r="P30" s="2">
        <f>$E30*$B$11+$B$10+'Станд.норм.распр.'!J23*$B$12+P29</f>
        <v>11777.638865008616</v>
      </c>
      <c r="Q30" s="2">
        <f>$E30*$B$11+$B$10+'Станд.норм.распр.'!K23*$B$12+Q29</f>
        <v>11791.606272578807</v>
      </c>
    </row>
    <row r="31" spans="3:17" x14ac:dyDescent="0.35">
      <c r="C31" s="4" t="s">
        <v>30</v>
      </c>
      <c r="D31" s="4" t="s">
        <v>5</v>
      </c>
      <c r="E31" s="4">
        <v>298</v>
      </c>
      <c r="F31" s="4"/>
      <c r="G31" s="4" t="s">
        <v>5</v>
      </c>
      <c r="H31" s="2">
        <f>$E31*$B$11+$B$10+'Станд.норм.распр.'!B24*$B$12+H30</f>
        <v>12083.085760353206</v>
      </c>
      <c r="I31" s="2">
        <f>$E31*$B$11+$B$10+'Станд.норм.распр.'!C24*$B$12+I30</f>
        <v>12074.679505461027</v>
      </c>
      <c r="J31" s="2">
        <f>$E31*$B$11+$B$10+'Станд.норм.распр.'!D24*$B$12+J30</f>
        <v>12094.608936579752</v>
      </c>
      <c r="K31" s="2">
        <f>$E31*$B$11+$B$10+'Станд.норм.распр.'!E24*$B$12+K30</f>
        <v>12104.430329984971</v>
      </c>
      <c r="L31" s="2">
        <f>$E31*$B$11+$B$10+'Станд.норм.распр.'!F24*$B$12+L30</f>
        <v>12081.082308477227</v>
      </c>
      <c r="M31" s="2">
        <f>$E31*$B$11+$B$10+'Станд.норм.распр.'!G24*$B$12+M30</f>
        <v>12103.003339619099</v>
      </c>
      <c r="N31" s="2">
        <f>$E31*$B$11+$B$10+'Станд.норм.распр.'!H24*$B$12+N30</f>
        <v>12110.833091118897</v>
      </c>
      <c r="O31" s="2">
        <f>$E31*$B$11+$B$10+'Станд.норм.распр.'!I24*$B$12+O30</f>
        <v>12082.296433775773</v>
      </c>
      <c r="P31" s="2">
        <f>$E31*$B$11+$B$10+'Станд.норм.распр.'!J24*$B$12+P30</f>
        <v>12077.077121290407</v>
      </c>
      <c r="Q31" s="2">
        <f>$E31*$B$11+$B$10+'Станд.норм.распр.'!K24*$B$12+Q30</f>
        <v>12095.222591769576</v>
      </c>
    </row>
    <row r="32" spans="3:17" x14ac:dyDescent="0.35">
      <c r="C32" s="4" t="s">
        <v>31</v>
      </c>
      <c r="D32" s="4" t="s">
        <v>5</v>
      </c>
      <c r="E32" s="4">
        <v>689</v>
      </c>
      <c r="F32" s="4"/>
      <c r="G32" s="4" t="s">
        <v>5</v>
      </c>
      <c r="H32" s="2">
        <f>$E32*$B$11+$B$10+'Станд.норм.распр.'!B25*$B$12+H31</f>
        <v>12771.593324229048</v>
      </c>
      <c r="I32" s="2">
        <f>$E32*$B$11+$B$10+'Станд.норм.распр.'!C25*$B$12+I31</f>
        <v>12768.418303236263</v>
      </c>
      <c r="J32" s="2">
        <f>$E32*$B$11+$B$10+'Станд.норм.распр.'!D25*$B$12+J31</f>
        <v>12788.72572490052</v>
      </c>
      <c r="K32" s="2">
        <f>$E32*$B$11+$B$10+'Станд.норм.распр.'!E25*$B$12+K31</f>
        <v>12794.420016658638</v>
      </c>
      <c r="L32" s="2">
        <f>$E32*$B$11+$B$10+'Станд.норм.распр.'!F25*$B$12+L31</f>
        <v>12776.439110969339</v>
      </c>
      <c r="M32" s="2">
        <f>$E32*$B$11+$B$10+'Станд.норм.распр.'!G25*$B$12+M31</f>
        <v>12794.471451994628</v>
      </c>
      <c r="N32" s="2">
        <f>$E32*$B$11+$B$10+'Станд.норм.распр.'!H25*$B$12+N31</f>
        <v>12804.026601345686</v>
      </c>
      <c r="O32" s="2">
        <f>$E32*$B$11+$B$10+'Станд.норм.распр.'!I25*$B$12+O31</f>
        <v>12776.150039340951</v>
      </c>
      <c r="P32" s="2">
        <f>$E32*$B$11+$B$10+'Станд.норм.распр.'!J25*$B$12+P31</f>
        <v>12768.408982370776</v>
      </c>
      <c r="Q32" s="2">
        <f>$E32*$B$11+$B$10+'Станд.норм.распр.'!K25*$B$12+Q31</f>
        <v>12781.969253394738</v>
      </c>
    </row>
    <row r="33" spans="3:17" x14ac:dyDescent="0.35">
      <c r="C33" s="4" t="s">
        <v>32</v>
      </c>
      <c r="D33" s="4" t="s">
        <v>5</v>
      </c>
      <c r="E33" s="4">
        <v>278</v>
      </c>
      <c r="F33" s="4"/>
      <c r="G33" s="4" t="s">
        <v>5</v>
      </c>
      <c r="H33" s="2">
        <f>$E33*$B$11+$B$10+'Станд.норм.распр.'!B26*$B$12+H32</f>
        <v>13049.575112284816</v>
      </c>
      <c r="I33" s="2">
        <f>$E33*$B$11+$B$10+'Станд.норм.распр.'!C26*$B$12+I32</f>
        <v>13049.386935557282</v>
      </c>
      <c r="J33" s="2">
        <f>$E33*$B$11+$B$10+'Станд.норм.распр.'!D26*$B$12+J32</f>
        <v>13071.316406916099</v>
      </c>
      <c r="K33" s="2">
        <f>$E33*$B$11+$B$10+'Станд.норм.распр.'!E26*$B$12+K32</f>
        <v>13078.011772671249</v>
      </c>
      <c r="L33" s="2">
        <f>$E33*$B$11+$B$10+'Станд.норм.распр.'!F26*$B$12+L32</f>
        <v>13057.609286179402</v>
      </c>
      <c r="M33" s="2">
        <f>$E33*$B$11+$B$10+'Станд.норм.распр.'!G26*$B$12+M32</f>
        <v>13074.136728385798</v>
      </c>
      <c r="N33" s="2">
        <f>$E33*$B$11+$B$10+'Станд.норм.распр.'!H26*$B$12+N32</f>
        <v>13087.25704467186</v>
      </c>
      <c r="O33" s="2">
        <f>$E33*$B$11+$B$10+'Станд.норм.распр.'!I26*$B$12+O32</f>
        <v>13053.931263351347</v>
      </c>
      <c r="P33" s="2">
        <f>$E33*$B$11+$B$10+'Станд.норм.распр.'!J26*$B$12+P32</f>
        <v>13048.390967554471</v>
      </c>
      <c r="Q33" s="2">
        <f>$E33*$B$11+$B$10+'Станд.норм.распр.'!K26*$B$12+Q32</f>
        <v>13065.687304115374</v>
      </c>
    </row>
    <row r="34" spans="3:17" x14ac:dyDescent="0.35">
      <c r="C34" s="4" t="s">
        <v>33</v>
      </c>
      <c r="D34" s="4" t="s">
        <v>5</v>
      </c>
      <c r="E34" s="4">
        <v>701</v>
      </c>
      <c r="F34" s="4"/>
      <c r="G34" s="4" t="s">
        <v>5</v>
      </c>
      <c r="H34" s="2">
        <f>$E34*$B$11+$B$10+'Станд.норм.распр.'!B27*$B$12+H33</f>
        <v>13753.73118464266</v>
      </c>
      <c r="I34" s="2">
        <f>$E34*$B$11+$B$10+'Станд.норм.распр.'!C27*$B$12+I33</f>
        <v>13748.509868782989</v>
      </c>
      <c r="J34" s="2">
        <f>$E34*$B$11+$B$10+'Станд.норм.распр.'!D27*$B$12+J33</f>
        <v>13775.656938441884</v>
      </c>
      <c r="K34" s="2">
        <f>$E34*$B$11+$B$10+'Станд.норм.распр.'!E27*$B$12+K33</f>
        <v>13779.640231923608</v>
      </c>
      <c r="L34" s="2">
        <f>$E34*$B$11+$B$10+'Станд.норм.распр.'!F27*$B$12+L33</f>
        <v>13762.844685458418</v>
      </c>
      <c r="M34" s="2">
        <f>$E34*$B$11+$B$10+'Станд.норм.распр.'!G27*$B$12+M33</f>
        <v>13777.656951397134</v>
      </c>
      <c r="N34" s="2">
        <f>$E34*$B$11+$B$10+'Станд.норм.распр.'!H27*$B$12+N33</f>
        <v>13786.307434326416</v>
      </c>
      <c r="O34" s="2">
        <f>$E34*$B$11+$B$10+'Станд.норм.распр.'!I27*$B$12+O33</f>
        <v>13752.35409484047</v>
      </c>
      <c r="P34" s="2">
        <f>$E34*$B$11+$B$10+'Станд.норм.распр.'!J27*$B$12+P33</f>
        <v>13750.851396180224</v>
      </c>
      <c r="Q34" s="2">
        <f>$E34*$B$11+$B$10+'Станд.норм.распр.'!K27*$B$12+Q33</f>
        <v>13766.549188937133</v>
      </c>
    </row>
    <row r="35" spans="3:17" x14ac:dyDescent="0.35">
      <c r="C35" s="4" t="s">
        <v>34</v>
      </c>
      <c r="D35" s="4" t="s">
        <v>5</v>
      </c>
      <c r="E35" s="4">
        <v>219</v>
      </c>
      <c r="F35" s="4"/>
      <c r="G35" s="4" t="s">
        <v>5</v>
      </c>
      <c r="H35" s="2">
        <f>$E35*$B$11+$B$10+'Станд.норм.распр.'!B28*$B$12+H34</f>
        <v>13976.32419644513</v>
      </c>
      <c r="I35" s="2">
        <f>$E35*$B$11+$B$10+'Станд.норм.распр.'!C28*$B$12+I34</f>
        <v>13972.978263207988</v>
      </c>
      <c r="J35" s="2">
        <f>$E35*$B$11+$B$10+'Станд.норм.распр.'!D28*$B$12+J34</f>
        <v>13996.795027022454</v>
      </c>
      <c r="K35" s="2">
        <f>$E35*$B$11+$B$10+'Станд.норм.распр.'!E28*$B$12+K34</f>
        <v>14001.154864953132</v>
      </c>
      <c r="L35" s="2">
        <f>$E35*$B$11+$B$10+'Станд.норм.распр.'!F28*$B$12+L34</f>
        <v>13985.70924964147</v>
      </c>
      <c r="M35" s="2">
        <f>$E35*$B$11+$B$10+'Станд.норм.распр.'!G28*$B$12+M34</f>
        <v>14000.28123162745</v>
      </c>
      <c r="N35" s="2">
        <f>$E35*$B$11+$B$10+'Станд.норм.распр.'!H28*$B$12+N34</f>
        <v>14007.523230134306</v>
      </c>
      <c r="O35" s="2">
        <f>$E35*$B$11+$B$10+'Станд.норм.распр.'!I28*$B$12+O34</f>
        <v>13970.046367202012</v>
      </c>
      <c r="P35" s="2">
        <f>$E35*$B$11+$B$10+'Станд.норм.распр.'!J28*$B$12+P34</f>
        <v>13972.676506826698</v>
      </c>
      <c r="Q35" s="2">
        <f>$E35*$B$11+$B$10+'Станд.норм.распр.'!K28*$B$12+Q34</f>
        <v>13987.20661411529</v>
      </c>
    </row>
    <row r="36" spans="3:17" x14ac:dyDescent="0.35">
      <c r="C36" s="4" t="s">
        <v>35</v>
      </c>
      <c r="D36" s="4" t="s">
        <v>5</v>
      </c>
      <c r="E36" s="4">
        <v>666</v>
      </c>
      <c r="F36" s="4"/>
      <c r="G36" s="4" t="s">
        <v>5</v>
      </c>
      <c r="H36" s="2">
        <f>$E36*$B$11+$B$10+'Станд.норм.распр.'!B29*$B$12+H35</f>
        <v>14645.595595004896</v>
      </c>
      <c r="I36" s="2">
        <f>$E36*$B$11+$B$10+'Станд.норм.распр.'!C29*$B$12+I35</f>
        <v>14644.043155761072</v>
      </c>
      <c r="J36" s="2">
        <f>$E36*$B$11+$B$10+'Станд.норм.распр.'!D29*$B$12+J35</f>
        <v>14662.409581581276</v>
      </c>
      <c r="K36" s="2">
        <f>$E36*$B$11+$B$10+'Станд.норм.распр.'!E29*$B$12+K35</f>
        <v>14664.658350432408</v>
      </c>
      <c r="L36" s="2">
        <f>$E36*$B$11+$B$10+'Станд.норм.распр.'!F29*$B$12+L35</f>
        <v>14655.8875008209</v>
      </c>
      <c r="M36" s="2">
        <f>$E36*$B$11+$B$10+'Станд.норм.распр.'!G29*$B$12+M35</f>
        <v>14670.676765638607</v>
      </c>
      <c r="N36" s="2">
        <f>$E36*$B$11+$B$10+'Станд.норм.распр.'!H29*$B$12+N35</f>
        <v>14673.994071681111</v>
      </c>
      <c r="O36" s="2">
        <f>$E36*$B$11+$B$10+'Станд.норм.распр.'!I29*$B$12+O35</f>
        <v>14639.317513376998</v>
      </c>
      <c r="P36" s="2">
        <f>$E36*$B$11+$B$10+'Станд.норм.распр.'!J29*$B$12+P35</f>
        <v>14639.243015847445</v>
      </c>
      <c r="Q36" s="2">
        <f>$E36*$B$11+$B$10+'Станд.норм.распр.'!K29*$B$12+Q35</f>
        <v>14656.682437525436</v>
      </c>
    </row>
    <row r="37" spans="3:17" x14ac:dyDescent="0.35">
      <c r="C37" s="4" t="s">
        <v>36</v>
      </c>
      <c r="D37" s="4" t="s">
        <v>5</v>
      </c>
      <c r="E37" s="4">
        <v>92</v>
      </c>
      <c r="F37" s="4"/>
      <c r="G37" s="4" t="s">
        <v>5</v>
      </c>
      <c r="H37" s="2">
        <f>$E37*$B$11+$B$10+'Станд.норм.распр.'!B30*$B$12+H36</f>
        <v>14738.114328268959</v>
      </c>
      <c r="I37" s="2">
        <f>$E37*$B$11+$B$10+'Станд.норм.распр.'!C30*$B$12+I36</f>
        <v>14741.496372993235</v>
      </c>
      <c r="J37" s="2">
        <f>$E37*$B$11+$B$10+'Станд.норм.распр.'!D30*$B$12+J36</f>
        <v>14754.169025467301</v>
      </c>
      <c r="K37" s="2">
        <f>$E37*$B$11+$B$10+'Станд.норм.распр.'!E30*$B$12+K36</f>
        <v>14759.548487676322</v>
      </c>
      <c r="L37" s="2">
        <f>$E37*$B$11+$B$10+'Станд.норм.распр.'!F30*$B$12+L36</f>
        <v>14752.173813613321</v>
      </c>
      <c r="M37" s="2">
        <f>$E37*$B$11+$B$10+'Станд.норм.распр.'!G30*$B$12+M36</f>
        <v>14767.131480470009</v>
      </c>
      <c r="N37" s="2">
        <f>$E37*$B$11+$B$10+'Станд.норм.распр.'!H30*$B$12+N36</f>
        <v>14769.940626811527</v>
      </c>
      <c r="O37" s="2">
        <f>$E37*$B$11+$B$10+'Станд.норм.распр.'!I30*$B$12+O36</f>
        <v>14738.532451405074</v>
      </c>
      <c r="P37" s="2">
        <f>$E37*$B$11+$B$10+'Станд.норм.распр.'!J30*$B$12+P36</f>
        <v>14732.89651200849</v>
      </c>
      <c r="Q37" s="2">
        <f>$E37*$B$11+$B$10+'Станд.норм.распр.'!K30*$B$12+Q36</f>
        <v>14754.586639074158</v>
      </c>
    </row>
    <row r="38" spans="3:17" x14ac:dyDescent="0.35">
      <c r="C38" s="4" t="s">
        <v>37</v>
      </c>
      <c r="D38" s="4" t="s">
        <v>5</v>
      </c>
      <c r="E38" s="4">
        <v>250</v>
      </c>
      <c r="F38" s="4"/>
      <c r="G38" s="4" t="s">
        <v>5</v>
      </c>
      <c r="H38" s="2">
        <f>$E38*$B$11+$B$10+'Станд.норм.распр.'!B31*$B$12+H37</f>
        <v>14990.951601133333</v>
      </c>
      <c r="I38" s="2">
        <f>$E38*$B$11+$B$10+'Станд.норм.распр.'!C31*$B$12+I37</f>
        <v>14997.547025926309</v>
      </c>
      <c r="J38" s="2">
        <f>$E38*$B$11+$B$10+'Станд.норм.распр.'!D31*$B$12+J37</f>
        <v>15014.968059288862</v>
      </c>
      <c r="K38" s="2">
        <f>$E38*$B$11+$B$10+'Станд.норм.распр.'!E31*$B$12+K37</f>
        <v>15007.761699619863</v>
      </c>
      <c r="L38" s="2">
        <f>$E38*$B$11+$B$10+'Станд.норм.распр.'!F31*$B$12+L37</f>
        <v>14999.902415053555</v>
      </c>
      <c r="M38" s="2">
        <f>$E38*$B$11+$B$10+'Станд.норм.распр.'!G31*$B$12+M37</f>
        <v>15017.836194031901</v>
      </c>
      <c r="N38" s="2">
        <f>$E38*$B$11+$B$10+'Станд.норм.распр.'!H31*$B$12+N37</f>
        <v>15022.792227628059</v>
      </c>
      <c r="O38" s="2">
        <f>$E38*$B$11+$B$10+'Станд.норм.распр.'!I31*$B$12+O37</f>
        <v>14991.221792682467</v>
      </c>
      <c r="P38" s="2">
        <f>$E38*$B$11+$B$10+'Станд.норм.распр.'!J31*$B$12+P37</f>
        <v>14986.879751607703</v>
      </c>
      <c r="Q38" s="2">
        <f>$E38*$B$11+$B$10+'Станд.норм.распр.'!K31*$B$12+Q37</f>
        <v>15005.050683284935</v>
      </c>
    </row>
    <row r="39" spans="3:17" x14ac:dyDescent="0.35">
      <c r="C39" s="4" t="s">
        <v>38</v>
      </c>
      <c r="D39" s="4" t="s">
        <v>5</v>
      </c>
      <c r="E39" s="4">
        <v>252</v>
      </c>
      <c r="F39" s="4"/>
      <c r="G39" s="4" t="s">
        <v>5</v>
      </c>
      <c r="H39" s="2">
        <f>$E39*$B$11+$B$10+'Станд.норм.распр.'!B32*$B$12+H38</f>
        <v>15251.846425897791</v>
      </c>
      <c r="I39" s="2">
        <f>$E39*$B$11+$B$10+'Станд.норм.распр.'!C32*$B$12+I38</f>
        <v>15247.912610064712</v>
      </c>
      <c r="J39" s="2">
        <f>$E39*$B$11+$B$10+'Станд.норм.распр.'!D32*$B$12+J38</f>
        <v>15268.30531732089</v>
      </c>
      <c r="K39" s="2">
        <f>$E39*$B$11+$B$10+'Станд.норм.распр.'!E32*$B$12+K38</f>
        <v>15265.800388150135</v>
      </c>
      <c r="L39" s="2">
        <f>$E39*$B$11+$B$10+'Станд.норм.распр.'!F32*$B$12+L38</f>
        <v>15254.775540199073</v>
      </c>
      <c r="M39" s="2">
        <f>$E39*$B$11+$B$10+'Станд.норм.распр.'!G32*$B$12+M38</f>
        <v>15272.707883312658</v>
      </c>
      <c r="N39" s="2">
        <f>$E39*$B$11+$B$10+'Станд.норм.распр.'!H32*$B$12+N38</f>
        <v>15277.002962097933</v>
      </c>
      <c r="O39" s="2">
        <f>$E39*$B$11+$B$10+'Станд.норм.распр.'!I32*$B$12+O38</f>
        <v>15242.251292037006</v>
      </c>
      <c r="P39" s="2">
        <f>$E39*$B$11+$B$10+'Станд.норм.распр.'!J32*$B$12+P38</f>
        <v>15243.274337470633</v>
      </c>
      <c r="Q39" s="2">
        <f>$E39*$B$11+$B$10+'Станд.норм.распр.'!K32*$B$12+Q38</f>
        <v>15254.760019247537</v>
      </c>
    </row>
    <row r="40" spans="3:17" x14ac:dyDescent="0.35">
      <c r="C40" s="4" t="s">
        <v>39</v>
      </c>
      <c r="D40" s="4" t="s">
        <v>5</v>
      </c>
      <c r="E40" s="4">
        <v>110</v>
      </c>
      <c r="F40" s="4"/>
      <c r="G40" s="4" t="s">
        <v>5</v>
      </c>
      <c r="H40" s="2">
        <f>$E40*$B$11+$B$10+'Станд.норм.распр.'!B33*$B$12+H39</f>
        <v>15364.147452727921</v>
      </c>
      <c r="I40" s="2">
        <f>$E40*$B$11+$B$10+'Станд.норм.распр.'!C33*$B$12+I39</f>
        <v>15354.843223021235</v>
      </c>
      <c r="J40" s="2">
        <f>$E40*$B$11+$B$10+'Станд.норм.распр.'!D33*$B$12+J39</f>
        <v>15387.071466774942</v>
      </c>
      <c r="K40" s="2">
        <f>$E40*$B$11+$B$10+'Станд.норм.распр.'!E33*$B$12+K39</f>
        <v>15374.808073274253</v>
      </c>
      <c r="L40" s="2">
        <f>$E40*$B$11+$B$10+'Станд.норм.распр.'!F33*$B$12+L39</f>
        <v>15364.488306543266</v>
      </c>
      <c r="M40" s="2">
        <f>$E40*$B$11+$B$10+'Станд.норм.распр.'!G33*$B$12+M39</f>
        <v>15387.954349661741</v>
      </c>
      <c r="N40" s="2">
        <f>$E40*$B$11+$B$10+'Станд.норм.распр.'!H33*$B$12+N39</f>
        <v>15389.025110567658</v>
      </c>
      <c r="O40" s="2">
        <f>$E40*$B$11+$B$10+'Станд.норм.распр.'!I33*$B$12+O39</f>
        <v>15354.302587538186</v>
      </c>
      <c r="P40" s="2">
        <f>$E40*$B$11+$B$10+'Станд.норм.распр.'!J33*$B$12+P39</f>
        <v>15353.860880385924</v>
      </c>
      <c r="Q40" s="2">
        <f>$E40*$B$11+$B$10+'Станд.норм.распр.'!K33*$B$12+Q39</f>
        <v>15358.636885508546</v>
      </c>
    </row>
    <row r="41" spans="3:17" x14ac:dyDescent="0.35">
      <c r="C41" s="4" t="s">
        <v>40</v>
      </c>
      <c r="D41" s="4" t="s">
        <v>5</v>
      </c>
      <c r="E41" s="4">
        <v>185</v>
      </c>
      <c r="F41" s="4"/>
      <c r="G41" s="4" t="s">
        <v>5</v>
      </c>
      <c r="H41" s="2">
        <f>$E41*$B$11+$B$10+'Станд.норм.распр.'!B34*$B$12+H40</f>
        <v>15553.310792741715</v>
      </c>
      <c r="I41" s="2">
        <f>$E41*$B$11+$B$10+'Станд.норм.распр.'!C34*$B$12+I40</f>
        <v>15543.703053284364</v>
      </c>
      <c r="J41" s="2">
        <f>$E41*$B$11+$B$10+'Станд.норм.распр.'!D34*$B$12+J40</f>
        <v>15572.622778139223</v>
      </c>
      <c r="K41" s="2">
        <f>$E41*$B$11+$B$10+'Станд.норм.распр.'!E34*$B$12+K40</f>
        <v>15561.654128790426</v>
      </c>
      <c r="L41" s="2">
        <f>$E41*$B$11+$B$10+'Станд.норм.распр.'!F34*$B$12+L40</f>
        <v>15552.520751286298</v>
      </c>
      <c r="M41" s="2">
        <f>$E41*$B$11+$B$10+'Станд.норм.распр.'!G34*$B$12+M40</f>
        <v>15581.127626804548</v>
      </c>
      <c r="N41" s="2">
        <f>$E41*$B$11+$B$10+'Станд.норм.распр.'!H34*$B$12+N40</f>
        <v>15565.743309343903</v>
      </c>
      <c r="O41" s="2">
        <f>$E41*$B$11+$B$10+'Станд.норм.распр.'!I34*$B$12+O40</f>
        <v>15540.82494593192</v>
      </c>
      <c r="P41" s="2">
        <f>$E41*$B$11+$B$10+'Станд.норм.распр.'!J34*$B$12+P40</f>
        <v>15535.292126181492</v>
      </c>
      <c r="Q41" s="2">
        <f>$E41*$B$11+$B$10+'Станд.норм.распр.'!K34*$B$12+Q40</f>
        <v>15545.566770288249</v>
      </c>
    </row>
    <row r="42" spans="3:17" x14ac:dyDescent="0.35">
      <c r="C42" s="4" t="s">
        <v>41</v>
      </c>
      <c r="D42" s="4" t="s">
        <v>5</v>
      </c>
      <c r="E42" s="4">
        <v>281</v>
      </c>
      <c r="F42" s="4"/>
      <c r="G42" s="4" t="s">
        <v>5</v>
      </c>
      <c r="H42" s="2">
        <f>$E42*$B$11+$B$10+'Станд.норм.распр.'!B35*$B$12+H41</f>
        <v>15832.95415702567</v>
      </c>
      <c r="I42" s="2">
        <f>$E42*$B$11+$B$10+'Станд.норм.распр.'!C35*$B$12+I41</f>
        <v>15826.187489159638</v>
      </c>
      <c r="J42" s="2">
        <f>$E42*$B$11+$B$10+'Станд.норм.распр.'!D35*$B$12+J41</f>
        <v>15852.572926354769</v>
      </c>
      <c r="K42" s="2">
        <f>$E42*$B$11+$B$10+'Станд.норм.распр.'!E35*$B$12+K41</f>
        <v>15845.331693248299</v>
      </c>
      <c r="L42" s="2">
        <f>$E42*$B$11+$B$10+'Станд.норм.распр.'!F35*$B$12+L41</f>
        <v>15835.362212717358</v>
      </c>
      <c r="M42" s="2">
        <f>$E42*$B$11+$B$10+'Станд.норм.распр.'!G35*$B$12+M41</f>
        <v>15861.162364848569</v>
      </c>
      <c r="N42" s="2">
        <f>$E42*$B$11+$B$10+'Станд.норм.распр.'!H35*$B$12+N41</f>
        <v>15854.064399046096</v>
      </c>
      <c r="O42" s="2">
        <f>$E42*$B$11+$B$10+'Станд.норм.распр.'!I35*$B$12+O41</f>
        <v>15826.765617424899</v>
      </c>
      <c r="P42" s="2">
        <f>$E42*$B$11+$B$10+'Станд.норм.распр.'!J35*$B$12+P41</f>
        <v>15819.39130282453</v>
      </c>
      <c r="Q42" s="2">
        <f>$E42*$B$11+$B$10+'Станд.норм.распр.'!K35*$B$12+Q41</f>
        <v>15830.413824424555</v>
      </c>
    </row>
    <row r="43" spans="3:17" x14ac:dyDescent="0.35">
      <c r="C43" s="4" t="s">
        <v>42</v>
      </c>
      <c r="D43" s="4" t="s">
        <v>5</v>
      </c>
      <c r="E43" s="4">
        <v>315</v>
      </c>
      <c r="F43" s="4"/>
      <c r="G43" s="4" t="s">
        <v>5</v>
      </c>
      <c r="H43" s="2">
        <f>$E43*$B$11+$B$10+'Станд.норм.распр.'!B36*$B$12+H42</f>
        <v>16149.146191491192</v>
      </c>
      <c r="I43" s="2">
        <f>$E43*$B$11+$B$10+'Станд.норм.распр.'!C36*$B$12+I42</f>
        <v>16147.230734258366</v>
      </c>
      <c r="J43" s="2">
        <f>$E43*$B$11+$B$10+'Станд.норм.распр.'!D36*$B$12+J42</f>
        <v>16171.504491875632</v>
      </c>
      <c r="K43" s="2">
        <f>$E43*$B$11+$B$10+'Станд.норм.распр.'!E36*$B$12+K42</f>
        <v>16164.327804471279</v>
      </c>
      <c r="L43" s="2">
        <f>$E43*$B$11+$B$10+'Станд.норм.распр.'!F36*$B$12+L42</f>
        <v>16155.299916983873</v>
      </c>
      <c r="M43" s="2">
        <f>$E43*$B$11+$B$10+'Станд.норм.распр.'!G36*$B$12+M42</f>
        <v>16175.06988049997</v>
      </c>
      <c r="N43" s="2">
        <f>$E43*$B$11+$B$10+'Станд.норм.распр.'!H36*$B$12+N42</f>
        <v>16166.274599768891</v>
      </c>
      <c r="O43" s="2">
        <f>$E43*$B$11+$B$10+'Станд.норм.распр.'!I36*$B$12+O42</f>
        <v>16142.146916944577</v>
      </c>
      <c r="P43" s="2">
        <f>$E43*$B$11+$B$10+'Станд.норм.распр.'!J36*$B$12+P42</f>
        <v>16131.474110624447</v>
      </c>
      <c r="Q43" s="2">
        <f>$E43*$B$11+$B$10+'Станд.норм.распр.'!K36*$B$12+Q42</f>
        <v>16150.968261595815</v>
      </c>
    </row>
    <row r="44" spans="3:17" x14ac:dyDescent="0.35">
      <c r="C44" s="4" t="s">
        <v>43</v>
      </c>
      <c r="D44" s="4" t="s">
        <v>5</v>
      </c>
      <c r="E44" s="4">
        <v>883</v>
      </c>
      <c r="F44" s="4"/>
      <c r="G44" s="4" t="s">
        <v>5</v>
      </c>
      <c r="H44" s="2">
        <f>$E44*$B$11+$B$10+'Станд.норм.распр.'!B37*$B$12+H43</f>
        <v>17034.595497790026</v>
      </c>
      <c r="I44" s="2">
        <f>$E44*$B$11+$B$10+'Станд.норм.распр.'!C37*$B$12+I43</f>
        <v>17033.544942733744</v>
      </c>
      <c r="J44" s="2">
        <f>$E44*$B$11+$B$10+'Станд.норм.распр.'!D37*$B$12+J43</f>
        <v>17056.268211973322</v>
      </c>
      <c r="K44" s="2">
        <f>$E44*$B$11+$B$10+'Станд.норм.распр.'!E37*$B$12+K43</f>
        <v>17046.974336863816</v>
      </c>
      <c r="L44" s="2">
        <f>$E44*$B$11+$B$10+'Станд.норм.распр.'!F37*$B$12+L43</f>
        <v>17037.861839084304</v>
      </c>
      <c r="M44" s="2">
        <f>$E44*$B$11+$B$10+'Станд.норм.распр.'!G37*$B$12+M43</f>
        <v>17060.932715849805</v>
      </c>
      <c r="N44" s="2">
        <f>$E44*$B$11+$B$10+'Станд.норм.распр.'!H37*$B$12+N43</f>
        <v>17049.895924035314</v>
      </c>
      <c r="O44" s="2">
        <f>$E44*$B$11+$B$10+'Станд.норм.распр.'!I37*$B$12+O43</f>
        <v>17029.356954963834</v>
      </c>
      <c r="P44" s="2">
        <f>$E44*$B$11+$B$10+'Станд.норм.распр.'!J37*$B$12+P43</f>
        <v>17013.069842397133</v>
      </c>
      <c r="Q44" s="2">
        <f>$E44*$B$11+$B$10+'Станд.норм.распр.'!K37*$B$12+Q43</f>
        <v>17035.046896851316</v>
      </c>
    </row>
    <row r="45" spans="3:17" x14ac:dyDescent="0.35">
      <c r="C45" s="4" t="s">
        <v>44</v>
      </c>
      <c r="D45" s="4" t="s">
        <v>5</v>
      </c>
      <c r="E45" s="4">
        <v>75</v>
      </c>
      <c r="F45" s="4"/>
      <c r="G45" s="4" t="s">
        <v>5</v>
      </c>
      <c r="H45" s="2">
        <f>$E45*$B$11+$B$10+'Станд.норм.распр.'!B38*$B$12+H44</f>
        <v>17112.184823071933</v>
      </c>
      <c r="I45" s="2">
        <f>$E45*$B$11+$B$10+'Станд.норм.распр.'!C38*$B$12+I44</f>
        <v>17110.6839521777</v>
      </c>
      <c r="J45" s="2">
        <f>$E45*$B$11+$B$10+'Станд.норм.распр.'!D38*$B$12+J44</f>
        <v>17137.519053785203</v>
      </c>
      <c r="K45" s="2">
        <f>$E45*$B$11+$B$10+'Станд.норм.распр.'!E38*$B$12+K44</f>
        <v>17122.130611478118</v>
      </c>
      <c r="L45" s="2">
        <f>$E45*$B$11+$B$10+'Станд.норм.распр.'!F38*$B$12+L44</f>
        <v>17119.001631593099</v>
      </c>
      <c r="M45" s="2">
        <f>$E45*$B$11+$B$10+'Станд.норм.распр.'!G38*$B$12+M44</f>
        <v>17136.658053340929</v>
      </c>
      <c r="N45" s="2">
        <f>$E45*$B$11+$B$10+'Станд.норм.распр.'!H38*$B$12+N44</f>
        <v>17131.355385741888</v>
      </c>
      <c r="O45" s="2">
        <f>$E45*$B$11+$B$10+'Станд.норм.распр.'!I38*$B$12+O44</f>
        <v>17109.246849367613</v>
      </c>
      <c r="P45" s="2">
        <f>$E45*$B$11+$B$10+'Станд.норм.распр.'!J38*$B$12+P44</f>
        <v>17089.454756814666</v>
      </c>
      <c r="Q45" s="2">
        <f>$E45*$B$11+$B$10+'Станд.норм.распр.'!K38*$B$12+Q44</f>
        <v>17115.003939248927</v>
      </c>
    </row>
    <row r="46" spans="3:17" x14ac:dyDescent="0.35">
      <c r="C46" s="4" t="s">
        <v>45</v>
      </c>
      <c r="D46" s="4" t="s">
        <v>5</v>
      </c>
      <c r="E46" s="4">
        <v>763</v>
      </c>
      <c r="F46" s="4"/>
      <c r="G46" s="4" t="s">
        <v>5</v>
      </c>
      <c r="H46" s="2">
        <f>$E46*$B$11+$B$10+'Станд.норм.распр.'!B39*$B$12+H45</f>
        <v>17876.10182633964</v>
      </c>
      <c r="I46" s="2">
        <f>$E46*$B$11+$B$10+'Станд.норм.распр.'!C39*$B$12+I45</f>
        <v>17881.020594239293</v>
      </c>
      <c r="J46" s="2">
        <f>$E46*$B$11+$B$10+'Станд.норм.распр.'!D39*$B$12+J45</f>
        <v>17905.858581905908</v>
      </c>
      <c r="K46" s="2">
        <f>$E46*$B$11+$B$10+'Станд.норм.распр.'!E39*$B$12+K45</f>
        <v>17886.067675925209</v>
      </c>
      <c r="L46" s="2">
        <f>$E46*$B$11+$B$10+'Станд.норм.распр.'!F39*$B$12+L45</f>
        <v>17882.87418103352</v>
      </c>
      <c r="M46" s="2">
        <f>$E46*$B$11+$B$10+'Станд.норм.распр.'!G39*$B$12+M45</f>
        <v>17898.410352352788</v>
      </c>
      <c r="N46" s="2">
        <f>$E46*$B$11+$B$10+'Станд.норм.распр.'!H39*$B$12+N45</f>
        <v>17893.918904005521</v>
      </c>
      <c r="O46" s="2">
        <f>$E46*$B$11+$B$10+'Станд.норм.распр.'!I39*$B$12+O45</f>
        <v>17874.846941929922</v>
      </c>
      <c r="P46" s="2">
        <f>$E46*$B$11+$B$10+'Станд.норм.распр.'!J39*$B$12+P45</f>
        <v>17851.941515999206</v>
      </c>
      <c r="Q46" s="2">
        <f>$E46*$B$11+$B$10+'Станд.норм.распр.'!K39*$B$12+Q45</f>
        <v>17881.607530748515</v>
      </c>
    </row>
    <row r="47" spans="3:17" x14ac:dyDescent="0.35">
      <c r="C47" s="4" t="s">
        <v>46</v>
      </c>
      <c r="D47" s="4" t="s">
        <v>5</v>
      </c>
      <c r="E47" s="4">
        <v>438</v>
      </c>
      <c r="F47" s="4"/>
      <c r="G47" s="4" t="s">
        <v>5</v>
      </c>
      <c r="H47" s="2">
        <f>$E47*$B$11+$B$10+'Станд.норм.распр.'!B40*$B$12+H46</f>
        <v>18319.340475581761</v>
      </c>
      <c r="I47" s="2">
        <f>$E47*$B$11+$B$10+'Станд.норм.распр.'!C40*$B$12+I46</f>
        <v>18316.554188540671</v>
      </c>
      <c r="J47" s="2">
        <f>$E47*$B$11+$B$10+'Станд.норм.распр.'!D40*$B$12+J46</f>
        <v>18350.972525094825</v>
      </c>
      <c r="K47" s="2">
        <f>$E47*$B$11+$B$10+'Станд.норм.распр.'!E40*$B$12+K46</f>
        <v>18330.465733096993</v>
      </c>
      <c r="L47" s="2">
        <f>$E47*$B$11+$B$10+'Станд.норм.распр.'!F40*$B$12+L46</f>
        <v>18324.990168205666</v>
      </c>
      <c r="M47" s="2">
        <f>$E47*$B$11+$B$10+'Станд.норм.распр.'!G40*$B$12+M46</f>
        <v>18337.891292357803</v>
      </c>
      <c r="N47" s="2">
        <f>$E47*$B$11+$B$10+'Станд.норм.распр.'!H40*$B$12+N46</f>
        <v>18334.356839346845</v>
      </c>
      <c r="O47" s="2">
        <f>$E47*$B$11+$B$10+'Станд.норм.распр.'!I40*$B$12+O46</f>
        <v>18317.865409325954</v>
      </c>
      <c r="P47" s="2">
        <f>$E47*$B$11+$B$10+'Станд.норм.распр.'!J40*$B$12+P46</f>
        <v>18293.691606631619</v>
      </c>
      <c r="Q47" s="2">
        <f>$E47*$B$11+$B$10+'Станд.норм.распр.'!K40*$B$12+Q46</f>
        <v>18322.396471927568</v>
      </c>
    </row>
    <row r="48" spans="3:17" x14ac:dyDescent="0.35">
      <c r="C48" s="4" t="s">
        <v>47</v>
      </c>
      <c r="D48" s="4" t="s">
        <v>5</v>
      </c>
      <c r="E48" s="4">
        <v>752</v>
      </c>
      <c r="F48" s="4"/>
      <c r="G48" s="4" t="s">
        <v>5</v>
      </c>
      <c r="H48" s="2">
        <f>$E48*$B$11+$B$10+'Станд.норм.распр.'!B41*$B$12+H47</f>
        <v>19071.459738309175</v>
      </c>
      <c r="I48" s="2">
        <f>$E48*$B$11+$B$10+'Станд.норм.распр.'!C41*$B$12+I47</f>
        <v>19072.154601356277</v>
      </c>
      <c r="J48" s="2">
        <f>$E48*$B$11+$B$10+'Станд.норм.распр.'!D41*$B$12+J47</f>
        <v>19108.76543177689</v>
      </c>
      <c r="K48" s="2">
        <f>$E48*$B$11+$B$10+'Станд.норм.распр.'!E41*$B$12+K47</f>
        <v>19083.748083797007</v>
      </c>
      <c r="L48" s="2">
        <f>$E48*$B$11+$B$10+'Станд.норм.распр.'!F41*$B$12+L47</f>
        <v>19080.402342902846</v>
      </c>
      <c r="M48" s="2">
        <f>$E48*$B$11+$B$10+'Станд.норм.распр.'!G41*$B$12+M47</f>
        <v>19087.940038100685</v>
      </c>
      <c r="N48" s="2">
        <f>$E48*$B$11+$B$10+'Станд.норм.распр.'!H41*$B$12+N47</f>
        <v>19080.445545113791</v>
      </c>
      <c r="O48" s="2">
        <f>$E48*$B$11+$B$10+'Станд.норм.распр.'!I41*$B$12+O47</f>
        <v>19068.064835603553</v>
      </c>
      <c r="P48" s="2">
        <f>$E48*$B$11+$B$10+'Станд.норм.распр.'!J41*$B$12+P47</f>
        <v>19048.312084380799</v>
      </c>
      <c r="Q48" s="2">
        <f>$E48*$B$11+$B$10+'Станд.норм.распр.'!K41*$B$12+Q47</f>
        <v>19074.380845222026</v>
      </c>
    </row>
    <row r="49" spans="3:17" x14ac:dyDescent="0.35">
      <c r="C49" s="4" t="s">
        <v>48</v>
      </c>
      <c r="D49" s="4" t="s">
        <v>5</v>
      </c>
      <c r="E49" s="4">
        <v>607</v>
      </c>
      <c r="F49" s="4"/>
      <c r="G49" s="4" t="s">
        <v>5</v>
      </c>
      <c r="H49" s="2">
        <f>$E49*$B$11+$B$10+'Станд.норм.распр.'!B42*$B$12+H48</f>
        <v>19680.477296104393</v>
      </c>
      <c r="I49" s="2">
        <f>$E49*$B$11+$B$10+'Станд.норм.распр.'!C42*$B$12+I48</f>
        <v>19682.271717782307</v>
      </c>
      <c r="J49" s="2">
        <f>$E49*$B$11+$B$10+'Станд.норм.распр.'!D42*$B$12+J48</f>
        <v>19710.283710081378</v>
      </c>
      <c r="K49" s="2">
        <f>$E49*$B$11+$B$10+'Станд.норм.распр.'!E42*$B$12+K48</f>
        <v>19695.441240854372</v>
      </c>
      <c r="L49" s="2">
        <f>$E49*$B$11+$B$10+'Станд.норм.распр.'!F42*$B$12+L48</f>
        <v>19685.786023712077</v>
      </c>
      <c r="M49" s="2">
        <f>$E49*$B$11+$B$10+'Станд.норм.распр.'!G42*$B$12+M48</f>
        <v>19691.767214224776</v>
      </c>
      <c r="N49" s="2">
        <f>$E49*$B$11+$B$10+'Станд.норм.распр.'!H42*$B$12+N48</f>
        <v>19689.976023814757</v>
      </c>
      <c r="O49" s="2">
        <f>$E49*$B$11+$B$10+'Станд.норм.распр.'!I42*$B$12+O48</f>
        <v>19683.23811274636</v>
      </c>
      <c r="P49" s="2">
        <f>$E49*$B$11+$B$10+'Станд.норм.распр.'!J42*$B$12+P48</f>
        <v>19654.661914590513</v>
      </c>
      <c r="Q49" s="2">
        <f>$E49*$B$11+$B$10+'Станд.норм.распр.'!K42*$B$12+Q48</f>
        <v>19681.33897049939</v>
      </c>
    </row>
    <row r="50" spans="3:17" x14ac:dyDescent="0.35">
      <c r="C50" s="4" t="s">
        <v>49</v>
      </c>
      <c r="D50" s="4" t="s">
        <v>5</v>
      </c>
      <c r="E50" s="4">
        <v>733</v>
      </c>
      <c r="F50" s="4"/>
      <c r="G50" s="4" t="s">
        <v>5</v>
      </c>
      <c r="H50" s="2">
        <f>$E50*$B$11+$B$10+'Станд.норм.распр.'!B43*$B$12+H49</f>
        <v>20414.709480213525</v>
      </c>
      <c r="I50" s="2">
        <f>$E50*$B$11+$B$10+'Станд.норм.распр.'!C43*$B$12+I49</f>
        <v>20418.55392113913</v>
      </c>
      <c r="J50" s="2">
        <f>$E50*$B$11+$B$10+'Станд.норм.распр.'!D43*$B$12+J49</f>
        <v>20447.01099740788</v>
      </c>
      <c r="K50" s="2">
        <f>$E50*$B$11+$B$10+'Станд.норм.распр.'!E43*$B$12+K49</f>
        <v>20429.998899011218</v>
      </c>
      <c r="L50" s="2">
        <f>$E50*$B$11+$B$10+'Станд.норм.распр.'!F43*$B$12+L49</f>
        <v>20424.218845525553</v>
      </c>
      <c r="M50" s="2">
        <f>$E50*$B$11+$B$10+'Станд.норм.распр.'!G43*$B$12+M49</f>
        <v>20424.626431953322</v>
      </c>
      <c r="N50" s="2">
        <f>$E50*$B$11+$B$10+'Станд.норм.распр.'!H43*$B$12+N49</f>
        <v>20424.889605901932</v>
      </c>
      <c r="O50" s="2">
        <f>$E50*$B$11+$B$10+'Станд.норм.распр.'!I43*$B$12+O49</f>
        <v>20417.878900992684</v>
      </c>
      <c r="P50" s="2">
        <f>$E50*$B$11+$B$10+'Станд.норм.распр.'!J43*$B$12+P49</f>
        <v>20391.505001162295</v>
      </c>
      <c r="Q50" s="2">
        <f>$E50*$B$11+$B$10+'Станд.норм.распр.'!K43*$B$12+Q49</f>
        <v>20424.015833378115</v>
      </c>
    </row>
    <row r="51" spans="3:17" x14ac:dyDescent="0.35">
      <c r="C51" s="4" t="s">
        <v>50</v>
      </c>
      <c r="D51" s="4" t="s">
        <v>5</v>
      </c>
      <c r="E51" s="4">
        <v>526</v>
      </c>
      <c r="F51" s="4"/>
      <c r="G51" s="4" t="s">
        <v>5</v>
      </c>
      <c r="H51" s="2">
        <f>$E51*$B$11+$B$10+'Станд.норм.распр.'!B44*$B$12+H50</f>
        <v>20942.570242259026</v>
      </c>
      <c r="I51" s="2">
        <f>$E51*$B$11+$B$10+'Станд.норм.распр.'!C44*$B$12+I50</f>
        <v>20945.845951136507</v>
      </c>
      <c r="J51" s="2">
        <f>$E51*$B$11+$B$10+'Станд.норм.распр.'!D44*$B$12+J50</f>
        <v>20974.658716003833</v>
      </c>
      <c r="K51" s="2">
        <f>$E51*$B$11+$B$10+'Станд.норм.распр.'!E44*$B$12+K50</f>
        <v>20956.978623307295</v>
      </c>
      <c r="L51" s="2">
        <f>$E51*$B$11+$B$10+'Станд.норм.распр.'!F44*$B$12+L50</f>
        <v>20954.826617052691</v>
      </c>
      <c r="M51" s="2">
        <f>$E51*$B$11+$B$10+'Станд.норм.распр.'!G44*$B$12+M50</f>
        <v>20952.491099141698</v>
      </c>
      <c r="N51" s="2">
        <f>$E51*$B$11+$B$10+'Станд.норм.распр.'!H44*$B$12+N50</f>
        <v>20952.097813456989</v>
      </c>
      <c r="O51" s="2">
        <f>$E51*$B$11+$B$10+'Станд.норм.распр.'!I44*$B$12+O50</f>
        <v>20953.456992746796</v>
      </c>
      <c r="P51" s="2">
        <f>$E51*$B$11+$B$10+'Станд.норм.распр.'!J44*$B$12+P50</f>
        <v>20922.470558810164</v>
      </c>
      <c r="Q51" s="2">
        <f>$E51*$B$11+$B$10+'Станд.норм.распр.'!K44*$B$12+Q50</f>
        <v>20951.077132527731</v>
      </c>
    </row>
    <row r="52" spans="3:17" x14ac:dyDescent="0.35">
      <c r="C52" s="4" t="s">
        <v>51</v>
      </c>
      <c r="D52" s="4" t="s">
        <v>5</v>
      </c>
      <c r="E52" s="4">
        <v>270</v>
      </c>
      <c r="F52" s="4"/>
      <c r="G52" s="4" t="s">
        <v>5</v>
      </c>
      <c r="H52" s="2">
        <f>$E52*$B$11+$B$10+'Станд.норм.распр.'!B45*$B$12+H51</f>
        <v>21215.573512685762</v>
      </c>
      <c r="I52" s="2">
        <f>$E52*$B$11+$B$10+'Станд.норм.распр.'!C45*$B$12+I51</f>
        <v>21215.848407459373</v>
      </c>
      <c r="J52" s="2">
        <f>$E52*$B$11+$B$10+'Станд.норм.распр.'!D45*$B$12+J51</f>
        <v>21243.8506010899</v>
      </c>
      <c r="K52" s="2">
        <f>$E52*$B$11+$B$10+'Станд.норм.распр.'!E45*$B$12+K51</f>
        <v>21229.48743443386</v>
      </c>
      <c r="L52" s="2">
        <f>$E52*$B$11+$B$10+'Станд.норм.распр.'!F45*$B$12+L51</f>
        <v>21226.129496184993</v>
      </c>
      <c r="M52" s="2">
        <f>$E52*$B$11+$B$10+'Станд.норм.распр.'!G45*$B$12+M51</f>
        <v>21228.331945289494</v>
      </c>
      <c r="N52" s="2">
        <f>$E52*$B$11+$B$10+'Станд.норм.распр.'!H45*$B$12+N51</f>
        <v>21225.275420375634</v>
      </c>
      <c r="O52" s="2">
        <f>$E52*$B$11+$B$10+'Станд.норм.распр.'!I45*$B$12+O51</f>
        <v>21222.648168426997</v>
      </c>
      <c r="P52" s="2">
        <f>$E52*$B$11+$B$10+'Станд.норм.распр.'!J45*$B$12+P51</f>
        <v>21193.377268871584</v>
      </c>
      <c r="Q52" s="2">
        <f>$E52*$B$11+$B$10+'Станд.норм.распр.'!K45*$B$12+Q51</f>
        <v>21221.923038320863</v>
      </c>
    </row>
    <row r="53" spans="3:17" x14ac:dyDescent="0.35">
      <c r="C53" s="4" t="s">
        <v>52</v>
      </c>
      <c r="D53" s="4" t="s">
        <v>5</v>
      </c>
      <c r="E53" s="4">
        <v>728</v>
      </c>
      <c r="F53" s="4"/>
      <c r="G53" s="4" t="s">
        <v>5</v>
      </c>
      <c r="H53" s="2">
        <f>$E53*$B$11+$B$10+'Станд.норм.распр.'!B46*$B$12+H52</f>
        <v>21944.406062549198</v>
      </c>
      <c r="I53" s="2">
        <f>$E53*$B$11+$B$10+'Станд.норм.распр.'!C46*$B$12+I52</f>
        <v>21946.429779210113</v>
      </c>
      <c r="J53" s="2">
        <f>$E53*$B$11+$B$10+'Станд.норм.распр.'!D46*$B$12+J52</f>
        <v>21970.258845077289</v>
      </c>
      <c r="K53" s="2">
        <f>$E53*$B$11+$B$10+'Станд.норм.распр.'!E46*$B$12+K52</f>
        <v>21958.496288708368</v>
      </c>
      <c r="L53" s="2">
        <f>$E53*$B$11+$B$10+'Станд.норм.распр.'!F46*$B$12+L52</f>
        <v>21959.481848180993</v>
      </c>
      <c r="M53" s="2">
        <f>$E53*$B$11+$B$10+'Станд.норм.распр.'!G46*$B$12+M52</f>
        <v>21960.535663457442</v>
      </c>
      <c r="N53" s="2">
        <f>$E53*$B$11+$B$10+'Станд.норм.распр.'!H46*$B$12+N52</f>
        <v>21955.626545584542</v>
      </c>
      <c r="O53" s="2">
        <f>$E53*$B$11+$B$10+'Станд.норм.распр.'!I46*$B$12+O52</f>
        <v>21953.984641332674</v>
      </c>
      <c r="P53" s="2">
        <f>$E53*$B$11+$B$10+'Станд.норм.распр.'!J46*$B$12+P52</f>
        <v>21920.25850922105</v>
      </c>
      <c r="Q53" s="2">
        <f>$E53*$B$11+$B$10+'Станд.норм.распр.'!K46*$B$12+Q52</f>
        <v>21952.733381047117</v>
      </c>
    </row>
    <row r="54" spans="3:17" x14ac:dyDescent="0.35">
      <c r="C54" s="4" t="s">
        <v>53</v>
      </c>
      <c r="D54" s="4" t="s">
        <v>5</v>
      </c>
      <c r="E54" s="4">
        <v>643</v>
      </c>
      <c r="F54" s="4"/>
      <c r="G54" s="4" t="s">
        <v>5</v>
      </c>
      <c r="H54" s="2">
        <f>$E54*$B$11+$B$10+'Станд.норм.распр.'!B47*$B$12+H53</f>
        <v>22585.980737245802</v>
      </c>
      <c r="I54" s="2">
        <f>$E54*$B$11+$B$10+'Станд.норм.распр.'!C47*$B$12+I53</f>
        <v>22589.878629175029</v>
      </c>
      <c r="J54" s="2">
        <f>$E54*$B$11+$B$10+'Станд.норм.распр.'!D47*$B$12+J53</f>
        <v>22617.858537911627</v>
      </c>
      <c r="K54" s="2">
        <f>$E54*$B$11+$B$10+'Станд.норм.распр.'!E47*$B$12+K53</f>
        <v>22601.387654800885</v>
      </c>
      <c r="L54" s="2">
        <f>$E54*$B$11+$B$10+'Станд.норм.распр.'!F47*$B$12+L53</f>
        <v>22607.005204851273</v>
      </c>
      <c r="M54" s="2">
        <f>$E54*$B$11+$B$10+'Станд.норм.распр.'!G47*$B$12+M53</f>
        <v>22606.095773495792</v>
      </c>
      <c r="N54" s="2">
        <f>$E54*$B$11+$B$10+'Станд.норм.распр.'!H47*$B$12+N53</f>
        <v>22601.148166943982</v>
      </c>
      <c r="O54" s="2">
        <f>$E54*$B$11+$B$10+'Станд.норм.распр.'!I47*$B$12+O53</f>
        <v>22596.402281193616</v>
      </c>
      <c r="P54" s="2">
        <f>$E54*$B$11+$B$10+'Станд.норм.распр.'!J47*$B$12+P53</f>
        <v>22564.715673897692</v>
      </c>
      <c r="Q54" s="2">
        <f>$E54*$B$11+$B$10+'Станд.норм.распр.'!K47*$B$12+Q53</f>
        <v>22595.226654487458</v>
      </c>
    </row>
    <row r="55" spans="3:17" x14ac:dyDescent="0.35">
      <c r="C55" s="4" t="s">
        <v>54</v>
      </c>
      <c r="D55" s="4" t="s">
        <v>5</v>
      </c>
      <c r="E55" s="4">
        <v>847</v>
      </c>
      <c r="F55" s="4"/>
      <c r="G55" s="4" t="s">
        <v>5</v>
      </c>
      <c r="H55" s="2">
        <f>$E55*$B$11+$B$10+'Станд.норм.распр.'!B48*$B$12+H54</f>
        <v>23432.575721752379</v>
      </c>
      <c r="I55" s="2">
        <f>$E55*$B$11+$B$10+'Станд.норм.распр.'!C48*$B$12+I54</f>
        <v>23440.261898993718</v>
      </c>
      <c r="J55" s="2">
        <f>$E55*$B$11+$B$10+'Станд.норм.распр.'!D48*$B$12+J54</f>
        <v>23464.3508359189</v>
      </c>
      <c r="K55" s="2">
        <f>$E55*$B$11+$B$10+'Станд.норм.распр.'!E48*$B$12+K54</f>
        <v>23452.998722003336</v>
      </c>
      <c r="L55" s="2">
        <f>$E55*$B$11+$B$10+'Станд.норм.распр.'!F48*$B$12+L54</f>
        <v>23457.108310511423</v>
      </c>
      <c r="M55" s="2">
        <f>$E55*$B$11+$B$10+'Станд.норм.распр.'!G48*$B$12+M54</f>
        <v>23450.982570064603</v>
      </c>
      <c r="N55" s="2">
        <f>$E55*$B$11+$B$10+'Станд.норм.распр.'!H48*$B$12+N54</f>
        <v>23452.661735177535</v>
      </c>
      <c r="O55" s="2">
        <f>$E55*$B$11+$B$10+'Станд.норм.распр.'!I48*$B$12+O54</f>
        <v>23446.894707429543</v>
      </c>
      <c r="P55" s="2">
        <f>$E55*$B$11+$B$10+'Станд.норм.распр.'!J48*$B$12+P54</f>
        <v>23415.792984807646</v>
      </c>
      <c r="Q55" s="2">
        <f>$E55*$B$11+$B$10+'Станд.норм.распр.'!K48*$B$12+Q54</f>
        <v>23441.166393536143</v>
      </c>
    </row>
    <row r="56" spans="3:17" x14ac:dyDescent="0.35">
      <c r="C56" s="4" t="s">
        <v>55</v>
      </c>
      <c r="D56" s="4" t="s">
        <v>5</v>
      </c>
      <c r="E56" s="4">
        <v>980</v>
      </c>
      <c r="F56" s="4"/>
      <c r="G56" s="4" t="s">
        <v>5</v>
      </c>
      <c r="H56" s="2">
        <f>$E56*$B$11+$B$10+'Станд.норм.распр.'!B49*$B$12+H55</f>
        <v>24415.049410467298</v>
      </c>
      <c r="I56" s="2">
        <f>$E56*$B$11+$B$10+'Станд.норм.распр.'!C49*$B$12+I55</f>
        <v>24421.94264247916</v>
      </c>
      <c r="J56" s="2">
        <f>$E56*$B$11+$B$10+'Станд.норм.распр.'!D49*$B$12+J55</f>
        <v>24442.094987338685</v>
      </c>
      <c r="K56" s="2">
        <f>$E56*$B$11+$B$10+'Станд.норм.распр.'!E49*$B$12+K55</f>
        <v>24428.482392553968</v>
      </c>
      <c r="L56" s="2">
        <f>$E56*$B$11+$B$10+'Станд.норм.распр.'!F49*$B$12+L55</f>
        <v>24444.988466606796</v>
      </c>
      <c r="M56" s="2">
        <f>$E56*$B$11+$B$10+'Станд.норм.распр.'!G49*$B$12+M55</f>
        <v>24435.293814380537</v>
      </c>
      <c r="N56" s="2">
        <f>$E56*$B$11+$B$10+'Станд.норм.распр.'!H49*$B$12+N55</f>
        <v>24434.576695149182</v>
      </c>
      <c r="O56" s="2">
        <f>$E56*$B$11+$B$10+'Станд.норм.распр.'!I49*$B$12+O55</f>
        <v>24426.198801424442</v>
      </c>
      <c r="P56" s="2">
        <f>$E56*$B$11+$B$10+'Станд.норм.распр.'!J49*$B$12+P55</f>
        <v>24397.08713961202</v>
      </c>
      <c r="Q56" s="2">
        <f>$E56*$B$11+$B$10+'Станд.норм.распр.'!K49*$B$12+Q55</f>
        <v>24419.235807546123</v>
      </c>
    </row>
    <row r="57" spans="3:17" x14ac:dyDescent="0.35">
      <c r="C57" s="4" t="s">
        <v>56</v>
      </c>
      <c r="D57" s="4" t="s">
        <v>5</v>
      </c>
      <c r="E57" s="4">
        <v>337</v>
      </c>
      <c r="F57" s="4"/>
      <c r="G57" s="4" t="s">
        <v>5</v>
      </c>
      <c r="H57" s="2">
        <f>$E57*$B$11+$B$10+'Станд.норм.распр.'!B50*$B$12+H56</f>
        <v>24754.84738292874</v>
      </c>
      <c r="I57" s="2">
        <f>$E57*$B$11+$B$10+'Станд.норм.распр.'!C50*$B$12+I56</f>
        <v>24758.58667148753</v>
      </c>
      <c r="J57" s="2">
        <f>$E57*$B$11+$B$10+'Станд.норм.распр.'!D50*$B$12+J56</f>
        <v>24780.086375904313</v>
      </c>
      <c r="K57" s="2">
        <f>$E57*$B$11+$B$10+'Станд.норм.распр.'!E50*$B$12+K56</f>
        <v>24770.496671726898</v>
      </c>
      <c r="L57" s="2">
        <f>$E57*$B$11+$B$10+'Станд.норм.распр.'!F50*$B$12+L56</f>
        <v>24784.418284707906</v>
      </c>
      <c r="M57" s="2">
        <f>$E57*$B$11+$B$10+'Станд.норм.распр.'!G50*$B$12+M56</f>
        <v>24774.186960121762</v>
      </c>
      <c r="N57" s="2">
        <f>$E57*$B$11+$B$10+'Станд.норм.распр.'!H50*$B$12+N56</f>
        <v>24779.122475517448</v>
      </c>
      <c r="O57" s="2">
        <f>$E57*$B$11+$B$10+'Станд.норм.распр.'!I50*$B$12+O56</f>
        <v>24767.114019914909</v>
      </c>
      <c r="P57" s="2">
        <f>$E57*$B$11+$B$10+'Станд.норм.распр.'!J50*$B$12+P56</f>
        <v>24737.427671137804</v>
      </c>
      <c r="Q57" s="2">
        <f>$E57*$B$11+$B$10+'Станд.норм.распр.'!K50*$B$12+Q56</f>
        <v>24757.03635570161</v>
      </c>
    </row>
    <row r="58" spans="3:17" x14ac:dyDescent="0.35">
      <c r="C58" s="4" t="s">
        <v>57</v>
      </c>
      <c r="D58" s="4" t="s">
        <v>5</v>
      </c>
      <c r="E58" s="4">
        <v>972</v>
      </c>
      <c r="F58" s="4"/>
      <c r="G58" s="4" t="s">
        <v>5</v>
      </c>
      <c r="H58" s="2">
        <f>$E58*$B$11+$B$10+'Станд.норм.распр.'!B51*$B$12+H57</f>
        <v>25733.935037173302</v>
      </c>
      <c r="I58" s="2">
        <f>$E58*$B$11+$B$10+'Станд.норм.распр.'!C51*$B$12+I57</f>
        <v>25734.188145001332</v>
      </c>
      <c r="J58" s="2">
        <f>$E58*$B$11+$B$10+'Станд.норм.распр.'!D51*$B$12+J57</f>
        <v>25758.636532422548</v>
      </c>
      <c r="K58" s="2">
        <f>$E58*$B$11+$B$10+'Станд.норм.распр.'!E51*$B$12+K57</f>
        <v>25744.468640675739</v>
      </c>
      <c r="L58" s="2">
        <f>$E58*$B$11+$B$10+'Станд.норм.распр.'!F51*$B$12+L57</f>
        <v>25754.404439025413</v>
      </c>
      <c r="M58" s="2">
        <f>$E58*$B$11+$B$10+'Станд.норм.распр.'!G51*$B$12+M57</f>
        <v>25744.026854048803</v>
      </c>
      <c r="N58" s="2">
        <f>$E58*$B$11+$B$10+'Станд.норм.распр.'!H51*$B$12+N57</f>
        <v>25751.757302369588</v>
      </c>
      <c r="O58" s="2">
        <f>$E58*$B$11+$B$10+'Станд.норм.распр.'!I51*$B$12+O57</f>
        <v>25741.338792435505</v>
      </c>
      <c r="P58" s="2">
        <f>$E58*$B$11+$B$10+'Станд.норм.распр.'!J51*$B$12+P57</f>
        <v>25710.317686287104</v>
      </c>
      <c r="Q58" s="2">
        <f>$E58*$B$11+$B$10+'Станд.норм.распр.'!K51*$B$12+Q57</f>
        <v>25730.866323393377</v>
      </c>
    </row>
    <row r="59" spans="3:17" x14ac:dyDescent="0.35">
      <c r="C59" s="4" t="s">
        <v>58</v>
      </c>
      <c r="D59" s="4" t="s">
        <v>5</v>
      </c>
      <c r="E59" s="4">
        <v>174</v>
      </c>
      <c r="F59" s="4"/>
      <c r="G59" s="4" t="s">
        <v>5</v>
      </c>
      <c r="H59" s="2">
        <f>$E59*$B$11+$B$10+'Станд.норм.распр.'!B52*$B$12+H58</f>
        <v>25911.332873686508</v>
      </c>
      <c r="I59" s="2">
        <f>$E59*$B$11+$B$10+'Станд.норм.распр.'!C52*$B$12+I58</f>
        <v>25908.435605554434</v>
      </c>
      <c r="J59" s="2">
        <f>$E59*$B$11+$B$10+'Станд.норм.распр.'!D52*$B$12+J58</f>
        <v>25937.498446221827</v>
      </c>
      <c r="K59" s="2">
        <f>$E59*$B$11+$B$10+'Станд.норм.распр.'!E52*$B$12+K58</f>
        <v>25917.349096586026</v>
      </c>
      <c r="L59" s="2">
        <f>$E59*$B$11+$B$10+'Станд.норм.распр.'!F52*$B$12+L58</f>
        <v>25926.935594400537</v>
      </c>
      <c r="M59" s="2">
        <f>$E59*$B$11+$B$10+'Станд.норм.распр.'!G52*$B$12+M58</f>
        <v>25919.214369462527</v>
      </c>
      <c r="N59" s="2">
        <f>$E59*$B$11+$B$10+'Станд.норм.распр.'!H52*$B$12+N58</f>
        <v>25922.97650708993</v>
      </c>
      <c r="O59" s="2">
        <f>$E59*$B$11+$B$10+'Станд.норм.распр.'!I52*$B$12+O58</f>
        <v>25918.218864983675</v>
      </c>
      <c r="P59" s="2">
        <f>$E59*$B$11+$B$10+'Станд.норм.распр.'!J52*$B$12+P58</f>
        <v>25888.328711055568</v>
      </c>
      <c r="Q59" s="2">
        <f>$E59*$B$11+$B$10+'Станд.норм.распр.'!K52*$B$12+Q58</f>
        <v>25907.873481909963</v>
      </c>
    </row>
    <row r="60" spans="3:17" x14ac:dyDescent="0.35">
      <c r="C60" s="4" t="s">
        <v>59</v>
      </c>
      <c r="D60" s="4" t="s">
        <v>5</v>
      </c>
      <c r="E60" s="4">
        <v>227</v>
      </c>
      <c r="F60" s="4"/>
      <c r="G60" s="4" t="s">
        <v>5</v>
      </c>
      <c r="H60" s="2">
        <f>$E60*$B$11+$B$10+'Станд.норм.распр.'!B53*$B$12+H59</f>
        <v>26135.862989170651</v>
      </c>
      <c r="I60" s="2">
        <f>$E60*$B$11+$B$10+'Станд.норм.распр.'!C53*$B$12+I59</f>
        <v>26142.70548160997</v>
      </c>
      <c r="J60" s="2">
        <f>$E60*$B$11+$B$10+'Станд.норм.распр.'!D53*$B$12+J59</f>
        <v>26163.12803848226</v>
      </c>
      <c r="K60" s="2">
        <f>$E60*$B$11+$B$10+'Станд.норм.распр.'!E53*$B$12+K59</f>
        <v>26147.998676685209</v>
      </c>
      <c r="L60" s="2">
        <f>$E60*$B$11+$B$10+'Станд.норм.распр.'!F53*$B$12+L59</f>
        <v>26153.470920602151</v>
      </c>
      <c r="M60" s="2">
        <f>$E60*$B$11+$B$10+'Станд.норм.распр.'!G53*$B$12+M59</f>
        <v>26152.220916450038</v>
      </c>
      <c r="N60" s="2">
        <f>$E60*$B$11+$B$10+'Станд.норм.распр.'!H53*$B$12+N59</f>
        <v>26151.287636476045</v>
      </c>
      <c r="O60" s="2">
        <f>$E60*$B$11+$B$10+'Станд.норм.распр.'!I53*$B$12+O59</f>
        <v>26141.028316536482</v>
      </c>
      <c r="P60" s="2">
        <f>$E60*$B$11+$B$10+'Станд.норм.распр.'!J53*$B$12+P59</f>
        <v>26117.075159848871</v>
      </c>
      <c r="Q60" s="2">
        <f>$E60*$B$11+$B$10+'Станд.норм.распр.'!K53*$B$12+Q59</f>
        <v>26136.28298337989</v>
      </c>
    </row>
    <row r="61" spans="3:17" x14ac:dyDescent="0.35">
      <c r="C61" s="4" t="s">
        <v>60</v>
      </c>
      <c r="D61" s="4" t="s">
        <v>5</v>
      </c>
      <c r="E61" s="4">
        <v>271</v>
      </c>
      <c r="F61" s="4"/>
      <c r="G61" s="4" t="s">
        <v>5</v>
      </c>
      <c r="H61" s="2">
        <f>$E61*$B$11+$B$10+'Станд.норм.распр.'!B54*$B$12+H60</f>
        <v>26404.144880813314</v>
      </c>
      <c r="I61" s="2">
        <f>$E61*$B$11+$B$10+'Станд.норм.распр.'!C54*$B$12+I60</f>
        <v>26416.617467190357</v>
      </c>
      <c r="J61" s="2">
        <f>$E61*$B$11+$B$10+'Станд.норм.распр.'!D54*$B$12+J60</f>
        <v>26435.841997851079</v>
      </c>
      <c r="K61" s="2">
        <f>$E61*$B$11+$B$10+'Станд.норм.распр.'!E54*$B$12+K60</f>
        <v>26424.697505235323</v>
      </c>
      <c r="L61" s="2">
        <f>$E61*$B$11+$B$10+'Станд.норм.распр.'!F54*$B$12+L60</f>
        <v>26427.741313033403</v>
      </c>
      <c r="M61" s="2">
        <f>$E61*$B$11+$B$10+'Станд.норм.распр.'!G54*$B$12+M60</f>
        <v>26423.339063909574</v>
      </c>
      <c r="N61" s="2">
        <f>$E61*$B$11+$B$10+'Станд.норм.распр.'!H54*$B$12+N60</f>
        <v>26423.181584053062</v>
      </c>
      <c r="O61" s="2">
        <f>$E61*$B$11+$B$10+'Станд.норм.распр.'!I54*$B$12+O60</f>
        <v>26411.539441084082</v>
      </c>
      <c r="P61" s="2">
        <f>$E61*$B$11+$B$10+'Станд.норм.распр.'!J54*$B$12+P60</f>
        <v>26392.400946985086</v>
      </c>
      <c r="Q61" s="2">
        <f>$E61*$B$11+$B$10+'Станд.норм.распр.'!K54*$B$12+Q60</f>
        <v>26407.699921343345</v>
      </c>
    </row>
    <row r="62" spans="3:17" x14ac:dyDescent="0.35">
      <c r="C62" s="4" t="s">
        <v>61</v>
      </c>
      <c r="D62" s="4" t="s">
        <v>5</v>
      </c>
      <c r="E62" s="4">
        <v>323</v>
      </c>
      <c r="F62" s="4"/>
      <c r="G62" s="4" t="s">
        <v>5</v>
      </c>
      <c r="H62" s="2">
        <f>$E62*$B$11+$B$10+'Станд.норм.распр.'!B55*$B$12+H61</f>
        <v>26729.877417404699</v>
      </c>
      <c r="I62" s="2">
        <f>$E62*$B$11+$B$10+'Станд.норм.распр.'!C55*$B$12+I61</f>
        <v>26739.535483751373</v>
      </c>
      <c r="J62" s="2">
        <f>$E62*$B$11+$B$10+'Станд.норм.распр.'!D55*$B$12+J61</f>
        <v>26762.472389885792</v>
      </c>
      <c r="K62" s="2">
        <f>$E62*$B$11+$B$10+'Станд.норм.распр.'!E55*$B$12+K61</f>
        <v>26750.563928541756</v>
      </c>
      <c r="L62" s="2">
        <f>$E62*$B$11+$B$10+'Станд.норм.распр.'!F55*$B$12+L61</f>
        <v>26757.13868808416</v>
      </c>
      <c r="M62" s="2">
        <f>$E62*$B$11+$B$10+'Станд.норм.распр.'!G55*$B$12+M61</f>
        <v>26746.305572454352</v>
      </c>
      <c r="N62" s="2">
        <f>$E62*$B$11+$B$10+'Станд.норм.распр.'!H55*$B$12+N61</f>
        <v>26743.163137807831</v>
      </c>
      <c r="O62" s="2">
        <f>$E62*$B$11+$B$10+'Станд.норм.распр.'!I55*$B$12+O61</f>
        <v>26739.372548912419</v>
      </c>
      <c r="P62" s="2">
        <f>$E62*$B$11+$B$10+'Станд.норм.распр.'!J55*$B$12+P61</f>
        <v>26717.116980001825</v>
      </c>
      <c r="Q62" s="2">
        <f>$E62*$B$11+$B$10+'Станд.норм.распр.'!K55*$B$12+Q61</f>
        <v>26731.019823149443</v>
      </c>
    </row>
    <row r="63" spans="3:17" x14ac:dyDescent="0.35">
      <c r="C63" s="4" t="s">
        <v>62</v>
      </c>
      <c r="D63" s="4" t="s">
        <v>5</v>
      </c>
      <c r="E63" s="4">
        <v>383</v>
      </c>
      <c r="F63" s="4"/>
      <c r="G63" s="4" t="s">
        <v>5</v>
      </c>
      <c r="H63" s="2">
        <f>$E63*$B$11+$B$10+'Станд.норм.распр.'!B56*$B$12+H62</f>
        <v>27109.192757195473</v>
      </c>
      <c r="I63" s="2">
        <f>$E63*$B$11+$B$10+'Станд.норм.распр.'!C56*$B$12+I62</f>
        <v>27129.39554149429</v>
      </c>
      <c r="J63" s="2">
        <f>$E63*$B$11+$B$10+'Станд.норм.распр.'!D56*$B$12+J62</f>
        <v>27152.129816756627</v>
      </c>
      <c r="K63" s="2">
        <f>$E63*$B$11+$B$10+'Станд.норм.распр.'!E56*$B$12+K62</f>
        <v>27136.156531415196</v>
      </c>
      <c r="L63" s="2">
        <f>$E63*$B$11+$B$10+'Станд.норм.распр.'!F56*$B$12+L62</f>
        <v>27141.847575883148</v>
      </c>
      <c r="M63" s="2">
        <f>$E63*$B$11+$B$10+'Станд.норм.распр.'!G56*$B$12+M62</f>
        <v>27130.16653606914</v>
      </c>
      <c r="N63" s="2">
        <f>$E63*$B$11+$B$10+'Станд.норм.распр.'!H56*$B$12+N62</f>
        <v>27125.741628627991</v>
      </c>
      <c r="O63" s="2">
        <f>$E63*$B$11+$B$10+'Станд.норм.распр.'!I56*$B$12+O62</f>
        <v>27127.282579528895</v>
      </c>
      <c r="P63" s="2">
        <f>$E63*$B$11+$B$10+'Станд.норм.распр.'!J56*$B$12+P62</f>
        <v>27101.846614511829</v>
      </c>
      <c r="Q63" s="2">
        <f>$E63*$B$11+$B$10+'Станд.норм.распр.'!K56*$B$12+Q62</f>
        <v>27112.308689136014</v>
      </c>
    </row>
    <row r="64" spans="3:17" x14ac:dyDescent="0.35">
      <c r="C64" s="4" t="s">
        <v>63</v>
      </c>
      <c r="D64" s="4" t="s">
        <v>5</v>
      </c>
      <c r="E64" s="4">
        <v>294</v>
      </c>
      <c r="F64" s="4"/>
      <c r="G64" s="4" t="s">
        <v>5</v>
      </c>
      <c r="H64" s="2">
        <f>$E64*$B$11+$B$10+'Станд.норм.распр.'!B57*$B$12+H63</f>
        <v>27404.205489328015</v>
      </c>
      <c r="I64" s="2">
        <f>$E64*$B$11+$B$10+'Станд.норм.распр.'!C57*$B$12+I63</f>
        <v>27425.135312322745</v>
      </c>
      <c r="J64" s="2">
        <f>$E64*$B$11+$B$10+'Станд.норм.распр.'!D57*$B$12+J63</f>
        <v>27450.553870247895</v>
      </c>
      <c r="K64" s="2">
        <f>$E64*$B$11+$B$10+'Станд.норм.распр.'!E57*$B$12+K63</f>
        <v>27437.612353662509</v>
      </c>
      <c r="L64" s="2">
        <f>$E64*$B$11+$B$10+'Станд.норм.распр.'!F57*$B$12+L63</f>
        <v>27438.976752208924</v>
      </c>
      <c r="M64" s="2">
        <f>$E64*$B$11+$B$10+'Станд.норм.распр.'!G57*$B$12+M63</f>
        <v>27428.1761260036</v>
      </c>
      <c r="N64" s="2">
        <f>$E64*$B$11+$B$10+'Станд.норм.распр.'!H57*$B$12+N63</f>
        <v>27421.611543388572</v>
      </c>
      <c r="O64" s="2">
        <f>$E64*$B$11+$B$10+'Станд.норм.распр.'!I57*$B$12+O63</f>
        <v>27422.988701327122</v>
      </c>
      <c r="P64" s="2">
        <f>$E64*$B$11+$B$10+'Станд.норм.распр.'!J57*$B$12+P63</f>
        <v>27396.096623817721</v>
      </c>
      <c r="Q64" s="2">
        <f>$E64*$B$11+$B$10+'Станд.норм.распр.'!K57*$B$12+Q63</f>
        <v>27411.409775030756</v>
      </c>
    </row>
    <row r="65" spans="3:17" x14ac:dyDescent="0.35">
      <c r="C65" s="4" t="s">
        <v>64</v>
      </c>
      <c r="D65" s="4" t="s">
        <v>5</v>
      </c>
      <c r="E65" s="4">
        <v>331</v>
      </c>
      <c r="F65" s="4"/>
      <c r="G65" s="4" t="s">
        <v>5</v>
      </c>
      <c r="H65" s="2">
        <f>$E65*$B$11+$B$10+'Станд.норм.распр.'!B58*$B$12+H64</f>
        <v>27737.747393556172</v>
      </c>
      <c r="I65" s="2">
        <f>$E65*$B$11+$B$10+'Станд.норм.распр.'!C58*$B$12+I64</f>
        <v>27757.747881222211</v>
      </c>
      <c r="J65" s="2">
        <f>$E65*$B$11+$B$10+'Станд.норм.распр.'!D58*$B$12+J64</f>
        <v>27785.446912983796</v>
      </c>
      <c r="K65" s="2">
        <f>$E65*$B$11+$B$10+'Станд.норм.распр.'!E58*$B$12+K64</f>
        <v>27770.07208311421</v>
      </c>
      <c r="L65" s="2">
        <f>$E65*$B$11+$B$10+'Станд.норм.распр.'!F58*$B$12+L64</f>
        <v>27776.928568872303</v>
      </c>
      <c r="M65" s="2">
        <f>$E65*$B$11+$B$10+'Станд.норм.распр.'!G58*$B$12+M64</f>
        <v>27759.902970982192</v>
      </c>
      <c r="N65" s="2">
        <f>$E65*$B$11+$B$10+'Станд.норм.распр.'!H58*$B$12+N64</f>
        <v>27751.826115819975</v>
      </c>
      <c r="O65" s="2">
        <f>$E65*$B$11+$B$10+'Станд.норм.распр.'!I58*$B$12+O64</f>
        <v>27754.350321655191</v>
      </c>
      <c r="P65" s="2">
        <f>$E65*$B$11+$B$10+'Станд.норм.распр.'!J58*$B$12+P64</f>
        <v>27731.387847881531</v>
      </c>
      <c r="Q65" s="2">
        <f>$E65*$B$11+$B$10+'Станд.норм.распр.'!K58*$B$12+Q64</f>
        <v>27744.179709250995</v>
      </c>
    </row>
    <row r="66" spans="3:17" x14ac:dyDescent="0.35">
      <c r="C66" s="4" t="s">
        <v>65</v>
      </c>
      <c r="D66" s="4" t="s">
        <v>5</v>
      </c>
      <c r="E66" s="4">
        <v>908</v>
      </c>
      <c r="F66" s="4"/>
      <c r="G66" s="4" t="s">
        <v>5</v>
      </c>
      <c r="H66" s="2">
        <f>$E66*$B$11+$B$10+'Станд.норм.распр.'!B59*$B$12+H65</f>
        <v>28646.607862633216</v>
      </c>
      <c r="I66" s="2">
        <f>$E66*$B$11+$B$10+'Станд.норм.распр.'!C59*$B$12+I65</f>
        <v>28664.176718443385</v>
      </c>
      <c r="J66" s="2">
        <f>$E66*$B$11+$B$10+'Станд.норм.распр.'!D59*$B$12+J65</f>
        <v>28695.161564705457</v>
      </c>
      <c r="K66" s="2">
        <f>$E66*$B$11+$B$10+'Станд.норм.распр.'!E59*$B$12+K65</f>
        <v>28678.147570724759</v>
      </c>
      <c r="L66" s="2">
        <f>$E66*$B$11+$B$10+'Станд.норм.распр.'!F59*$B$12+L65</f>
        <v>28685.590574836737</v>
      </c>
      <c r="M66" s="2">
        <f>$E66*$B$11+$B$10+'Станд.норм.распр.'!G59*$B$12+M65</f>
        <v>28665.309567990887</v>
      </c>
      <c r="N66" s="2">
        <f>$E66*$B$11+$B$10+'Станд.норм.распр.'!H59*$B$12+N65</f>
        <v>28669.053433657507</v>
      </c>
      <c r="O66" s="2">
        <f>$E66*$B$11+$B$10+'Станд.норм.распр.'!I59*$B$12+O65</f>
        <v>28661.874699814332</v>
      </c>
      <c r="P66" s="2">
        <f>$E66*$B$11+$B$10+'Станд.норм.распр.'!J59*$B$12+P65</f>
        <v>28643.336387984134</v>
      </c>
      <c r="Q66" s="2">
        <f>$E66*$B$11+$B$10+'Станд.норм.распр.'!K59*$B$12+Q65</f>
        <v>28651.915122013263</v>
      </c>
    </row>
    <row r="67" spans="3:17" x14ac:dyDescent="0.35">
      <c r="C67" s="4" t="s">
        <v>66</v>
      </c>
      <c r="D67" s="4" t="s">
        <v>5</v>
      </c>
      <c r="E67" s="4">
        <v>152</v>
      </c>
      <c r="F67" s="4"/>
      <c r="G67" s="4" t="s">
        <v>5</v>
      </c>
      <c r="H67" s="2">
        <f>$E67*$B$11+$B$10+'Станд.норм.распр.'!B60*$B$12+H66</f>
        <v>28797.842148362281</v>
      </c>
      <c r="I67" s="2">
        <f>$E67*$B$11+$B$10+'Станд.норм.распр.'!C60*$B$12+I66</f>
        <v>28813.712400035103</v>
      </c>
      <c r="J67" s="2">
        <f>$E67*$B$11+$B$10+'Станд.норм.распр.'!D60*$B$12+J66</f>
        <v>28853.524301650497</v>
      </c>
      <c r="K67" s="2">
        <f>$E67*$B$11+$B$10+'Станд.норм.распр.'!E60*$B$12+K66</f>
        <v>28830.704298129989</v>
      </c>
      <c r="L67" s="2">
        <f>$E67*$B$11+$B$10+'Станд.норм.распр.'!F60*$B$12+L66</f>
        <v>28837.310087357881</v>
      </c>
      <c r="M67" s="2">
        <f>$E67*$B$11+$B$10+'Станд.норм.распр.'!G60*$B$12+M66</f>
        <v>28819.022606496321</v>
      </c>
      <c r="N67" s="2">
        <f>$E67*$B$11+$B$10+'Станд.норм.распр.'!H60*$B$12+N66</f>
        <v>28821.120334395091</v>
      </c>
      <c r="O67" s="2">
        <f>$E67*$B$11+$B$10+'Станд.норм.распр.'!I60*$B$12+O66</f>
        <v>28812.270222244581</v>
      </c>
      <c r="P67" s="2">
        <f>$E67*$B$11+$B$10+'Станд.норм.распр.'!J60*$B$12+P66</f>
        <v>28793.491885667638</v>
      </c>
      <c r="Q67" s="2">
        <f>$E67*$B$11+$B$10+'Станд.норм.распр.'!K60*$B$12+Q66</f>
        <v>28803.007662993055</v>
      </c>
    </row>
    <row r="68" spans="3:17" x14ac:dyDescent="0.35">
      <c r="C68" s="4" t="s">
        <v>67</v>
      </c>
      <c r="D68" s="4" t="s">
        <v>5</v>
      </c>
      <c r="E68" s="4">
        <v>593</v>
      </c>
      <c r="F68" s="4"/>
      <c r="G68" s="4" t="s">
        <v>5</v>
      </c>
      <c r="H68" s="2">
        <f>$E68*$B$11+$B$10+'Станд.норм.распр.'!B61*$B$12+H67</f>
        <v>29394.919169370798</v>
      </c>
      <c r="I68" s="2">
        <f>$E68*$B$11+$B$10+'Станд.норм.распр.'!C61*$B$12+I67</f>
        <v>29408.064698835762</v>
      </c>
      <c r="J68" s="2">
        <f>$E68*$B$11+$B$10+'Станд.норм.распр.'!D61*$B$12+J67</f>
        <v>29444.80724682656</v>
      </c>
      <c r="K68" s="2">
        <f>$E68*$B$11+$B$10+'Станд.норм.распр.'!E61*$B$12+K67</f>
        <v>29424.59628119845</v>
      </c>
      <c r="L68" s="2">
        <f>$E68*$B$11+$B$10+'Станд.норм.распр.'!F61*$B$12+L67</f>
        <v>29430.487934049641</v>
      </c>
      <c r="M68" s="2">
        <f>$E68*$B$11+$B$10+'Станд.норм.распр.'!G61*$B$12+M67</f>
        <v>29417.599840152281</v>
      </c>
      <c r="N68" s="2">
        <f>$E68*$B$11+$B$10+'Станд.норм.распр.'!H61*$B$12+N67</f>
        <v>29418.626412939775</v>
      </c>
      <c r="O68" s="2">
        <f>$E68*$B$11+$B$10+'Станд.норм.распр.'!I61*$B$12+O67</f>
        <v>29406.069279965624</v>
      </c>
      <c r="P68" s="2">
        <f>$E68*$B$11+$B$10+'Станд.норм.распр.'!J61*$B$12+P67</f>
        <v>29391.933997969492</v>
      </c>
      <c r="Q68" s="2">
        <f>$E68*$B$11+$B$10+'Станд.норм.распр.'!K61*$B$12+Q67</f>
        <v>29396.06656927221</v>
      </c>
    </row>
    <row r="69" spans="3:17" x14ac:dyDescent="0.35">
      <c r="C69" s="4" t="s">
        <v>68</v>
      </c>
      <c r="D69" s="4" t="s">
        <v>5</v>
      </c>
      <c r="E69" s="4">
        <v>392</v>
      </c>
      <c r="F69" s="4"/>
      <c r="G69" s="4" t="s">
        <v>5</v>
      </c>
      <c r="H69" s="2">
        <f>$E69*$B$11+$B$10+'Станд.норм.распр.'!B62*$B$12+H68</f>
        <v>29790.330320886438</v>
      </c>
      <c r="I69" s="2">
        <f>$E69*$B$11+$B$10+'Станд.норм.распр.'!C62*$B$12+I68</f>
        <v>29797.529699046732</v>
      </c>
      <c r="J69" s="2">
        <f>$E69*$B$11+$B$10+'Станд.норм.распр.'!D62*$B$12+J68</f>
        <v>29841.592674395157</v>
      </c>
      <c r="K69" s="2">
        <f>$E69*$B$11+$B$10+'Станд.норм.распр.'!E62*$B$12+K68</f>
        <v>29818.967054903522</v>
      </c>
      <c r="L69" s="2">
        <f>$E69*$B$11+$B$10+'Станд.норм.распр.'!F62*$B$12+L68</f>
        <v>29826.991204635546</v>
      </c>
      <c r="M69" s="2">
        <f>$E69*$B$11+$B$10+'Станд.норм.распр.'!G62*$B$12+M68</f>
        <v>29808.859302968427</v>
      </c>
      <c r="N69" s="2">
        <f>$E69*$B$11+$B$10+'Станд.норм.распр.'!H62*$B$12+N68</f>
        <v>29818.870003117976</v>
      </c>
      <c r="O69" s="2">
        <f>$E69*$B$11+$B$10+'Станд.норм.распр.'!I62*$B$12+O68</f>
        <v>29800.63873165143</v>
      </c>
      <c r="P69" s="2">
        <f>$E69*$B$11+$B$10+'Станд.норм.распр.'!J62*$B$12+P68</f>
        <v>29787.479118054704</v>
      </c>
      <c r="Q69" s="2">
        <f>$E69*$B$11+$B$10+'Станд.норм.распр.'!K62*$B$12+Q68</f>
        <v>29792.425350602469</v>
      </c>
    </row>
    <row r="70" spans="3:17" x14ac:dyDescent="0.35">
      <c r="C70" s="4" t="s">
        <v>69</v>
      </c>
      <c r="D70" s="4" t="s">
        <v>5</v>
      </c>
      <c r="E70" s="4">
        <v>407</v>
      </c>
      <c r="F70" s="4"/>
      <c r="G70" s="4" t="s">
        <v>5</v>
      </c>
      <c r="H70" s="2">
        <f>$E70*$B$11+$B$10+'Станд.норм.распр.'!B63*$B$12+H69</f>
        <v>30204.445246329633</v>
      </c>
      <c r="I70" s="2">
        <f>$E70*$B$11+$B$10+'Станд.норм.распр.'!C63*$B$12+I69</f>
        <v>30207.879364173059</v>
      </c>
      <c r="J70" s="2">
        <f>$E70*$B$11+$B$10+'Станд.норм.распр.'!D63*$B$12+J69</f>
        <v>30250.22722123409</v>
      </c>
      <c r="K70" s="2">
        <f>$E70*$B$11+$B$10+'Станд.норм.распр.'!E63*$B$12+K69</f>
        <v>30229.858416211093</v>
      </c>
      <c r="L70" s="2">
        <f>$E70*$B$11+$B$10+'Станд.норм.распр.'!F63*$B$12+L69</f>
        <v>30237.778157088222</v>
      </c>
      <c r="M70" s="2">
        <f>$E70*$B$11+$B$10+'Станд.норм.распр.'!G63*$B$12+M69</f>
        <v>30220.992673651344</v>
      </c>
      <c r="N70" s="2">
        <f>$E70*$B$11+$B$10+'Станд.норм.распр.'!H63*$B$12+N69</f>
        <v>30223.324184889469</v>
      </c>
      <c r="O70" s="2">
        <f>$E70*$B$11+$B$10+'Станд.норм.распр.'!I63*$B$12+O69</f>
        <v>30207.348735405467</v>
      </c>
      <c r="P70" s="2">
        <f>$E70*$B$11+$B$10+'Станд.норм.распр.'!J63*$B$12+P69</f>
        <v>30194.168487647694</v>
      </c>
      <c r="Q70" s="2">
        <f>$E70*$B$11+$B$10+'Станд.норм.распр.'!K63*$B$12+Q69</f>
        <v>30200.743076098908</v>
      </c>
    </row>
    <row r="71" spans="3:17" x14ac:dyDescent="0.35">
      <c r="C71" s="4" t="s">
        <v>70</v>
      </c>
      <c r="D71" s="4" t="s">
        <v>5</v>
      </c>
      <c r="E71" s="4">
        <v>211</v>
      </c>
      <c r="F71" s="4"/>
      <c r="G71" s="4" t="s">
        <v>5</v>
      </c>
      <c r="H71" s="2">
        <f>$E71*$B$11+$B$10+'Станд.норм.распр.'!B64*$B$12+H70</f>
        <v>30416.758732443894</v>
      </c>
      <c r="I71" s="2">
        <f>$E71*$B$11+$B$10+'Станд.норм.распр.'!C64*$B$12+I70</f>
        <v>30423.211665565075</v>
      </c>
      <c r="J71" s="2">
        <f>$E71*$B$11+$B$10+'Станд.норм.распр.'!D64*$B$12+J70</f>
        <v>30459.319268019724</v>
      </c>
      <c r="K71" s="2">
        <f>$E71*$B$11+$B$10+'Станд.норм.распр.'!E64*$B$12+K70</f>
        <v>30440.735655577155</v>
      </c>
      <c r="L71" s="2">
        <f>$E71*$B$11+$B$10+'Станд.норм.распр.'!F64*$B$12+L70</f>
        <v>30449.559288668694</v>
      </c>
      <c r="M71" s="2">
        <f>$E71*$B$11+$B$10+'Станд.норм.распр.'!G64*$B$12+M70</f>
        <v>30437.965878563089</v>
      </c>
      <c r="N71" s="2">
        <f>$E71*$B$11+$B$10+'Станд.норм.распр.'!H64*$B$12+N70</f>
        <v>30437.638393364847</v>
      </c>
      <c r="O71" s="2">
        <f>$E71*$B$11+$B$10+'Станд.норм.распр.'!I64*$B$12+O70</f>
        <v>30420.076524778095</v>
      </c>
      <c r="P71" s="2">
        <f>$E71*$B$11+$B$10+'Станд.норм.распр.'!J64*$B$12+P70</f>
        <v>30410.922417934315</v>
      </c>
      <c r="Q71" s="2">
        <f>$E71*$B$11+$B$10+'Станд.норм.распр.'!K64*$B$12+Q70</f>
        <v>30414.454586309657</v>
      </c>
    </row>
    <row r="72" spans="3:17" x14ac:dyDescent="0.35">
      <c r="C72" s="4" t="s">
        <v>71</v>
      </c>
      <c r="D72" s="4" t="s">
        <v>5</v>
      </c>
      <c r="E72" s="4">
        <v>942</v>
      </c>
      <c r="F72" s="4"/>
      <c r="G72" s="4" t="s">
        <v>5</v>
      </c>
      <c r="H72" s="2">
        <f>$E72*$B$11+$B$10+'Станд.норм.распр.'!B65*$B$12+H71</f>
        <v>31360.152551951425</v>
      </c>
      <c r="I72" s="2">
        <f>$E72*$B$11+$B$10+'Станд.норм.распр.'!C65*$B$12+I71</f>
        <v>31365.768392970305</v>
      </c>
      <c r="J72" s="2">
        <f>$E72*$B$11+$B$10+'Станд.норм.распр.'!D65*$B$12+J71</f>
        <v>31403.391221556187</v>
      </c>
      <c r="K72" s="2">
        <f>$E72*$B$11+$B$10+'Станд.норм.распр.'!E65*$B$12+K71</f>
        <v>31389.63971012627</v>
      </c>
      <c r="L72" s="2">
        <f>$E72*$B$11+$B$10+'Станд.норм.распр.'!F65*$B$12+L71</f>
        <v>31388.982856848525</v>
      </c>
      <c r="M72" s="2">
        <f>$E72*$B$11+$B$10+'Станд.норм.распр.'!G65*$B$12+M71</f>
        <v>31384.089819266403</v>
      </c>
      <c r="N72" s="2">
        <f>$E72*$B$11+$B$10+'Станд.норм.распр.'!H65*$B$12+N71</f>
        <v>31381.864775691065</v>
      </c>
      <c r="O72" s="2">
        <f>$E72*$B$11+$B$10+'Станд.норм.распр.'!I65*$B$12+O71</f>
        <v>31359.908601598174</v>
      </c>
      <c r="P72" s="2">
        <f>$E72*$B$11+$B$10+'Станд.норм.распр.'!J65*$B$12+P71</f>
        <v>31361.166008112516</v>
      </c>
      <c r="Q72" s="2">
        <f>$E72*$B$11+$B$10+'Станд.норм.распр.'!K65*$B$12+Q71</f>
        <v>31360.144356979712</v>
      </c>
    </row>
    <row r="73" spans="3:17" x14ac:dyDescent="0.35">
      <c r="C73" s="4" t="s">
        <v>72</v>
      </c>
      <c r="D73" s="4" t="s">
        <v>5</v>
      </c>
      <c r="E73" s="4">
        <v>785</v>
      </c>
      <c r="F73" s="4"/>
      <c r="G73" s="4" t="s">
        <v>5</v>
      </c>
      <c r="H73" s="2">
        <f>$E73*$B$11+$B$10+'Станд.норм.распр.'!B66*$B$12+H72</f>
        <v>32144.110387670939</v>
      </c>
      <c r="I73" s="2">
        <f>$E73*$B$11+$B$10+'Станд.норм.распр.'!C66*$B$12+I72</f>
        <v>32154.123903873828</v>
      </c>
      <c r="J73" s="2">
        <f>$E73*$B$11+$B$10+'Станд.норм.распр.'!D66*$B$12+J72</f>
        <v>32194.640180714036</v>
      </c>
      <c r="K73" s="2">
        <f>$E73*$B$11+$B$10+'Станд.норм.распр.'!E66*$B$12+K72</f>
        <v>32176.064647995023</v>
      </c>
      <c r="L73" s="2">
        <f>$E73*$B$11+$B$10+'Станд.норм.распр.'!F66*$B$12+L72</f>
        <v>32177.435401847892</v>
      </c>
      <c r="M73" s="2">
        <f>$E73*$B$11+$B$10+'Станд.норм.распр.'!G66*$B$12+M72</f>
        <v>32173.28305220342</v>
      </c>
      <c r="N73" s="2">
        <f>$E73*$B$11+$B$10+'Станд.норм.распр.'!H66*$B$12+N72</f>
        <v>32170.492507453775</v>
      </c>
      <c r="O73" s="2">
        <f>$E73*$B$11+$B$10+'Станд.норм.распр.'!I66*$B$12+O72</f>
        <v>32140.979087225336</v>
      </c>
      <c r="P73" s="2">
        <f>$E73*$B$11+$B$10+'Станд.норм.распр.'!J66*$B$12+P72</f>
        <v>32147.086930165518</v>
      </c>
      <c r="Q73" s="2">
        <f>$E73*$B$11+$B$10+'Станд.норм.распр.'!K66*$B$12+Q72</f>
        <v>32145.372452116877</v>
      </c>
    </row>
    <row r="74" spans="3:17" x14ac:dyDescent="0.35">
      <c r="C74" s="4" t="s">
        <v>73</v>
      </c>
      <c r="D74" s="4" t="s">
        <v>5</v>
      </c>
      <c r="E74" s="4">
        <v>896</v>
      </c>
      <c r="F74" s="4"/>
      <c r="G74" s="4" t="s">
        <v>5</v>
      </c>
      <c r="H74" s="2">
        <f>$E74*$B$11+$B$10+'Станд.норм.распр.'!B67*$B$12+H73</f>
        <v>33042.171093031677</v>
      </c>
      <c r="I74" s="2">
        <f>$E74*$B$11+$B$10+'Станд.норм.распр.'!C67*$B$12+I73</f>
        <v>33053.028440692608</v>
      </c>
      <c r="J74" s="2">
        <f>$E74*$B$11+$B$10+'Станд.норм.распр.'!D67*$B$12+J73</f>
        <v>33089.475357430594</v>
      </c>
      <c r="K74" s="2">
        <f>$E74*$B$11+$B$10+'Станд.норм.распр.'!E67*$B$12+K73</f>
        <v>33077.812057204632</v>
      </c>
      <c r="L74" s="2">
        <f>$E74*$B$11+$B$10+'Станд.норм.распр.'!F67*$B$12+L73</f>
        <v>33075.151206354087</v>
      </c>
      <c r="M74" s="2">
        <f>$E74*$B$11+$B$10+'Станд.норм.распр.'!G67*$B$12+M73</f>
        <v>33068.109402273898</v>
      </c>
      <c r="N74" s="2">
        <f>$E74*$B$11+$B$10+'Станд.норм.распр.'!H67*$B$12+N73</f>
        <v>33063.823552737595</v>
      </c>
      <c r="O74" s="2">
        <f>$E74*$B$11+$B$10+'Станд.норм.распр.'!I67*$B$12+O73</f>
        <v>33041.913087574678</v>
      </c>
      <c r="P74" s="2">
        <f>$E74*$B$11+$B$10+'Станд.норм.распр.'!J67*$B$12+P73</f>
        <v>33049.232684412083</v>
      </c>
      <c r="Q74" s="2">
        <f>$E74*$B$11+$B$10+'Станд.норм.распр.'!K67*$B$12+Q73</f>
        <v>33043.45840959801</v>
      </c>
    </row>
    <row r="75" spans="3:17" x14ac:dyDescent="0.35">
      <c r="C75" s="4" t="s">
        <v>74</v>
      </c>
      <c r="D75" s="4" t="s">
        <v>5</v>
      </c>
      <c r="E75" s="4">
        <v>920</v>
      </c>
      <c r="F75" s="4"/>
      <c r="G75" s="4" t="s">
        <v>5</v>
      </c>
      <c r="H75" s="2">
        <f>$E75*$B$11+$B$10+'Станд.норм.распр.'!B68*$B$12+H74</f>
        <v>33965.714378211327</v>
      </c>
      <c r="I75" s="2">
        <f>$E75*$B$11+$B$10+'Станд.норм.распр.'!C68*$B$12+I74</f>
        <v>33975.149991248894</v>
      </c>
      <c r="J75" s="2">
        <f>$E75*$B$11+$B$10+'Станд.норм.распр.'!D68*$B$12+J74</f>
        <v>34010.28559511526</v>
      </c>
      <c r="K75" s="2">
        <f>$E75*$B$11+$B$10+'Станд.норм.распр.'!E68*$B$12+K74</f>
        <v>33997.106171768915</v>
      </c>
      <c r="L75" s="2">
        <f>$E75*$B$11+$B$10+'Станд.норм.распр.'!F68*$B$12+L74</f>
        <v>33995.433120840229</v>
      </c>
      <c r="M75" s="2">
        <f>$E75*$B$11+$B$10+'Станд.норм.распр.'!G68*$B$12+M74</f>
        <v>33990.773791564148</v>
      </c>
      <c r="N75" s="2">
        <f>$E75*$B$11+$B$10+'Станд.норм.распр.'!H68*$B$12+N74</f>
        <v>33984.90387283203</v>
      </c>
      <c r="O75" s="2">
        <f>$E75*$B$11+$B$10+'Станд.норм.распр.'!I68*$B$12+O74</f>
        <v>33967.808210092539</v>
      </c>
      <c r="P75" s="2">
        <f>$E75*$B$11+$B$10+'Станд.норм.распр.'!J68*$B$12+P74</f>
        <v>33974.339254559876</v>
      </c>
      <c r="Q75" s="2">
        <f>$E75*$B$11+$B$10+'Станд.норм.распр.'!K68*$B$12+Q74</f>
        <v>33965.054542791346</v>
      </c>
    </row>
    <row r="76" spans="3:17" x14ac:dyDescent="0.35">
      <c r="C76" s="4" t="s">
        <v>75</v>
      </c>
      <c r="D76" s="4" t="s">
        <v>5</v>
      </c>
      <c r="E76" s="4">
        <v>147</v>
      </c>
      <c r="F76" s="4"/>
      <c r="G76" s="4" t="s">
        <v>5</v>
      </c>
      <c r="H76" s="2">
        <f>$E76*$B$11+$B$10+'Станд.норм.распр.'!B69*$B$12+H75</f>
        <v>34111.198535447737</v>
      </c>
      <c r="I76" s="2">
        <f>$E76*$B$11+$B$10+'Станд.норм.распр.'!C69*$B$12+I75</f>
        <v>34126.16647742693</v>
      </c>
      <c r="J76" s="2">
        <f>$E76*$B$11+$B$10+'Станд.норм.распр.'!D69*$B$12+J75</f>
        <v>34162.640518707529</v>
      </c>
      <c r="K76" s="2">
        <f>$E76*$B$11+$B$10+'Станд.норм.распр.'!E69*$B$12+K75</f>
        <v>34146.536453712324</v>
      </c>
      <c r="L76" s="2">
        <f>$E76*$B$11+$B$10+'Станд.норм.распр.'!F69*$B$12+L75</f>
        <v>34145.415061342472</v>
      </c>
      <c r="M76" s="2">
        <f>$E76*$B$11+$B$10+'Станд.норм.распр.'!G69*$B$12+M75</f>
        <v>34141.53368427571</v>
      </c>
      <c r="N76" s="2">
        <f>$E76*$B$11+$B$10+'Станд.норм.распр.'!H69*$B$12+N75</f>
        <v>34135.464211037339</v>
      </c>
      <c r="O76" s="2">
        <f>$E76*$B$11+$B$10+'Станд.норм.распр.'!I69*$B$12+O75</f>
        <v>34116.456856373086</v>
      </c>
      <c r="P76" s="2">
        <f>$E76*$B$11+$B$10+'Станд.норм.распр.'!J69*$B$12+P75</f>
        <v>34124.911168359002</v>
      </c>
      <c r="Q76" s="2">
        <f>$E76*$B$11+$B$10+'Станд.норм.распр.'!K69*$B$12+Q75</f>
        <v>34120.447817607565</v>
      </c>
    </row>
    <row r="77" spans="3:17" x14ac:dyDescent="0.35">
      <c r="C77" s="4" t="s">
        <v>76</v>
      </c>
      <c r="D77" s="4" t="s">
        <v>5</v>
      </c>
      <c r="E77" s="4">
        <v>712</v>
      </c>
      <c r="F77" s="4"/>
      <c r="G77" s="4" t="s">
        <v>5</v>
      </c>
      <c r="H77" s="2">
        <f>$E77*$B$11+$B$10+'Станд.норм.распр.'!B70*$B$12+H76</f>
        <v>34822.565609676996</v>
      </c>
      <c r="I77" s="2">
        <f>$E77*$B$11+$B$10+'Станд.норм.распр.'!C70*$B$12+I76</f>
        <v>34839.572704715931</v>
      </c>
      <c r="J77" s="2">
        <f>$E77*$B$11+$B$10+'Станд.норм.распр.'!D70*$B$12+J76</f>
        <v>34874.255387042023</v>
      </c>
      <c r="K77" s="2">
        <f>$E77*$B$11+$B$10+'Станд.норм.распр.'!E70*$B$12+K76</f>
        <v>34857.881195299182</v>
      </c>
      <c r="L77" s="2">
        <f>$E77*$B$11+$B$10+'Станд.норм.распр.'!F70*$B$12+L76</f>
        <v>34859.503546082007</v>
      </c>
      <c r="M77" s="2">
        <f>$E77*$B$11+$B$10+'Станд.норм.распр.'!G70*$B$12+M76</f>
        <v>34849.693718751209</v>
      </c>
      <c r="N77" s="2">
        <f>$E77*$B$11+$B$10+'Станд.норм.распр.'!H70*$B$12+N76</f>
        <v>34846.341904357469</v>
      </c>
      <c r="O77" s="2">
        <f>$E77*$B$11+$B$10+'Станд.норм.распр.'!I70*$B$12+O76</f>
        <v>34828.618949479744</v>
      </c>
      <c r="P77" s="2">
        <f>$E77*$B$11+$B$10+'Станд.норм.распр.'!J70*$B$12+P76</f>
        <v>34837.446211136805</v>
      </c>
      <c r="Q77" s="2">
        <f>$E77*$B$11+$B$10+'Станд.норм.распр.'!K70*$B$12+Q76</f>
        <v>34833.352171971594</v>
      </c>
    </row>
    <row r="78" spans="3:17" x14ac:dyDescent="0.35">
      <c r="C78" s="4" t="s">
        <v>77</v>
      </c>
      <c r="D78" s="4" t="s">
        <v>5</v>
      </c>
      <c r="E78" s="4">
        <v>418</v>
      </c>
      <c r="F78" s="4"/>
      <c r="G78" s="4" t="s">
        <v>5</v>
      </c>
      <c r="H78" s="2">
        <f>$E78*$B$11+$B$10+'Станд.норм.распр.'!B71*$B$12+H77</f>
        <v>35245.763922722981</v>
      </c>
      <c r="I78" s="2">
        <f>$E78*$B$11+$B$10+'Станд.норм.распр.'!C71*$B$12+I77</f>
        <v>35258.337369894827</v>
      </c>
      <c r="J78" s="2">
        <f>$E78*$B$11+$B$10+'Станд.норм.распр.'!D71*$B$12+J77</f>
        <v>35290.392030900359</v>
      </c>
      <c r="K78" s="2">
        <f>$E78*$B$11+$B$10+'Станд.норм.распр.'!E71*$B$12+K77</f>
        <v>35274.238164249022</v>
      </c>
      <c r="L78" s="2">
        <f>$E78*$B$11+$B$10+'Станд.норм.распр.'!F71*$B$12+L77</f>
        <v>35280.090531688795</v>
      </c>
      <c r="M78" s="2">
        <f>$E78*$B$11+$B$10+'Станд.норм.распр.'!G71*$B$12+M77</f>
        <v>35267.455590988087</v>
      </c>
      <c r="N78" s="2">
        <f>$E78*$B$11+$B$10+'Станд.норм.распр.'!H71*$B$12+N77</f>
        <v>35265.192257579693</v>
      </c>
      <c r="O78" s="2">
        <f>$E78*$B$11+$B$10+'Станд.норм.распр.'!I71*$B$12+O77</f>
        <v>35250.635722148611</v>
      </c>
      <c r="P78" s="2">
        <f>$E78*$B$11+$B$10+'Станд.норм.распр.'!J71*$B$12+P77</f>
        <v>35254.295364513193</v>
      </c>
      <c r="Q78" s="2">
        <f>$E78*$B$11+$B$10+'Станд.норм.распр.'!K71*$B$12+Q77</f>
        <v>35257.527939543317</v>
      </c>
    </row>
    <row r="79" spans="3:17" x14ac:dyDescent="0.35">
      <c r="C79" s="4" t="s">
        <v>78</v>
      </c>
      <c r="D79" s="4" t="s">
        <v>5</v>
      </c>
      <c r="E79" s="4">
        <v>876</v>
      </c>
      <c r="F79" s="4"/>
      <c r="G79" s="4" t="s">
        <v>5</v>
      </c>
      <c r="H79" s="2">
        <f>$E79*$B$11+$B$10+'Станд.норм.распр.'!B72*$B$12+H78</f>
        <v>36125.11739749524</v>
      </c>
      <c r="I79" s="2">
        <f>$E79*$B$11+$B$10+'Станд.норм.распр.'!C72*$B$12+I78</f>
        <v>36132.904991460018</v>
      </c>
      <c r="J79" s="2">
        <f>$E79*$B$11+$B$10+'Станд.норм.распр.'!D72*$B$12+J78</f>
        <v>36165.938919053369</v>
      </c>
      <c r="K79" s="2">
        <f>$E79*$B$11+$B$10+'Станд.норм.распр.'!E72*$B$12+K78</f>
        <v>36149.40182998823</v>
      </c>
      <c r="L79" s="2">
        <f>$E79*$B$11+$B$10+'Станд.норм.распр.'!F72*$B$12+L78</f>
        <v>36156.695512335427</v>
      </c>
      <c r="M79" s="2">
        <f>$E79*$B$11+$B$10+'Станд.норм.распр.'!G72*$B$12+M78</f>
        <v>36141.220970014212</v>
      </c>
      <c r="N79" s="2">
        <f>$E79*$B$11+$B$10+'Станд.норм.распр.'!H72*$B$12+N78</f>
        <v>36141.269999600234</v>
      </c>
      <c r="O79" s="2">
        <f>$E79*$B$11+$B$10+'Станд.норм.распр.'!I72*$B$12+O78</f>
        <v>36122.681733273348</v>
      </c>
      <c r="P79" s="2">
        <f>$E79*$B$11+$B$10+'Станд.норм.распр.'!J72*$B$12+P78</f>
        <v>36133.384486692303</v>
      </c>
      <c r="Q79" s="2">
        <f>$E79*$B$11+$B$10+'Станд.норм.распр.'!K72*$B$12+Q78</f>
        <v>36136.768523285718</v>
      </c>
    </row>
    <row r="80" spans="3:17" x14ac:dyDescent="0.35">
      <c r="C80" s="4" t="s">
        <v>79</v>
      </c>
      <c r="D80" s="4" t="s">
        <v>5</v>
      </c>
      <c r="E80" s="4">
        <v>757</v>
      </c>
      <c r="F80" s="4"/>
      <c r="G80" s="4" t="s">
        <v>5</v>
      </c>
      <c r="H80" s="2">
        <f>$E80*$B$11+$B$10+'Станд.норм.распр.'!B73*$B$12+H79</f>
        <v>36887.794241284675</v>
      </c>
      <c r="I80" s="2">
        <f>$E80*$B$11+$B$10+'Станд.норм.распр.'!C73*$B$12+I79</f>
        <v>36892.620986616515</v>
      </c>
      <c r="J80" s="2">
        <f>$E80*$B$11+$B$10+'Станд.норм.распр.'!D73*$B$12+J79</f>
        <v>36925.003297635834</v>
      </c>
      <c r="K80" s="2">
        <f>$E80*$B$11+$B$10+'Станд.норм.распр.'!E73*$B$12+K79</f>
        <v>36905.166877842072</v>
      </c>
      <c r="L80" s="2">
        <f>$E80*$B$11+$B$10+'Станд.норм.распр.'!F73*$B$12+L79</f>
        <v>36915.69792022265</v>
      </c>
      <c r="M80" s="2">
        <f>$E80*$B$11+$B$10+'Станд.норм.распр.'!G73*$B$12+M79</f>
        <v>36898.11027610123</v>
      </c>
      <c r="N80" s="2">
        <f>$E80*$B$11+$B$10+'Станд.норм.распр.'!H73*$B$12+N79</f>
        <v>36905.476629394208</v>
      </c>
      <c r="O80" s="2">
        <f>$E80*$B$11+$B$10+'Станд.норм.распр.'!I73*$B$12+O79</f>
        <v>36877.165355388337</v>
      </c>
      <c r="P80" s="2">
        <f>$E80*$B$11+$B$10+'Станд.норм.распр.'!J73*$B$12+P79</f>
        <v>36893.297676216302</v>
      </c>
      <c r="Q80" s="2">
        <f>$E80*$B$11+$B$10+'Станд.норм.распр.'!K73*$B$12+Q79</f>
        <v>36893.704895723553</v>
      </c>
    </row>
    <row r="81" spans="3:17" x14ac:dyDescent="0.35">
      <c r="C81" s="4" t="s">
        <v>80</v>
      </c>
      <c r="D81" s="4" t="s">
        <v>5</v>
      </c>
      <c r="E81" s="4">
        <v>670</v>
      </c>
      <c r="F81" s="4"/>
      <c r="G81" s="4" t="s">
        <v>5</v>
      </c>
      <c r="H81" s="2">
        <f>$E81*$B$11+$B$10+'Станд.норм.распр.'!B74*$B$12+H80</f>
        <v>37558.884418027941</v>
      </c>
      <c r="I81" s="2">
        <f>$E81*$B$11+$B$10+'Станд.норм.распр.'!C74*$B$12+I80</f>
        <v>37567.781812670743</v>
      </c>
      <c r="J81" s="2">
        <f>$E81*$B$11+$B$10+'Станд.норм.распр.'!D74*$B$12+J80</f>
        <v>37596.769548402532</v>
      </c>
      <c r="K81" s="2">
        <f>$E81*$B$11+$B$10+'Станд.норм.распр.'!E74*$B$12+K80</f>
        <v>37576.041395201653</v>
      </c>
      <c r="L81" s="2">
        <f>$E81*$B$11+$B$10+'Станд.норм.распр.'!F74*$B$12+L80</f>
        <v>37587.981887205911</v>
      </c>
      <c r="M81" s="2">
        <f>$E81*$B$11+$B$10+'Станд.норм.распр.'!G74*$B$12+M80</f>
        <v>37573.178265483773</v>
      </c>
      <c r="N81" s="2">
        <f>$E81*$B$11+$B$10+'Станд.норм.распр.'!H74*$B$12+N80</f>
        <v>37574.477895759468</v>
      </c>
      <c r="O81" s="2">
        <f>$E81*$B$11+$B$10+'Станд.норм.распр.'!I74*$B$12+O80</f>
        <v>37552.120535595546</v>
      </c>
      <c r="P81" s="2">
        <f>$E81*$B$11+$B$10+'Станд.норм.распр.'!J74*$B$12+P80</f>
        <v>37564.802364264848</v>
      </c>
      <c r="Q81" s="2">
        <f>$E81*$B$11+$B$10+'Станд.норм.распр.'!K74*$B$12+Q80</f>
        <v>37571.413211889972</v>
      </c>
    </row>
    <row r="82" spans="3:17" x14ac:dyDescent="0.35">
      <c r="C82" s="4" t="s">
        <v>81</v>
      </c>
      <c r="D82" s="4" t="s">
        <v>5</v>
      </c>
      <c r="E82" s="4">
        <v>823</v>
      </c>
      <c r="F82" s="4"/>
      <c r="G82" s="4" t="s">
        <v>5</v>
      </c>
      <c r="H82" s="2">
        <f>$E82*$B$11+$B$10+'Станд.норм.распр.'!B75*$B$12+H81</f>
        <v>38385.028880685917</v>
      </c>
      <c r="I82" s="2">
        <f>$E82*$B$11+$B$10+'Станд.норм.распр.'!C75*$B$12+I81</f>
        <v>38389.770568936379</v>
      </c>
      <c r="J82" s="2">
        <f>$E82*$B$11+$B$10+'Станд.норм.распр.'!D75*$B$12+J81</f>
        <v>38419.891048486912</v>
      </c>
      <c r="K82" s="2">
        <f>$E82*$B$11+$B$10+'Станд.норм.распр.'!E75*$B$12+K81</f>
        <v>38398.222236748305</v>
      </c>
      <c r="L82" s="2">
        <f>$E82*$B$11+$B$10+'Станд.норм.распр.'!F75*$B$12+L81</f>
        <v>38415.365443171846</v>
      </c>
      <c r="M82" s="2">
        <f>$E82*$B$11+$B$10+'Станд.норм.распр.'!G75*$B$12+M81</f>
        <v>38398.491983175598</v>
      </c>
      <c r="N82" s="2">
        <f>$E82*$B$11+$B$10+'Станд.норм.распр.'!H75*$B$12+N81</f>
        <v>38399.061982695479</v>
      </c>
      <c r="O82" s="2">
        <f>$E82*$B$11+$B$10+'Станд.норм.распр.'!I75*$B$12+O81</f>
        <v>38380.090661074442</v>
      </c>
      <c r="P82" s="2">
        <f>$E82*$B$11+$B$10+'Станд.норм.распр.'!J75*$B$12+P81</f>
        <v>38392.733035863581</v>
      </c>
      <c r="Q82" s="2">
        <f>$E82*$B$11+$B$10+'Станд.норм.распр.'!K75*$B$12+Q81</f>
        <v>38395.403854563832</v>
      </c>
    </row>
    <row r="83" spans="3:17" x14ac:dyDescent="0.35">
      <c r="C83" s="4" t="s">
        <v>82</v>
      </c>
      <c r="D83" s="4" t="s">
        <v>5</v>
      </c>
      <c r="E83" s="4">
        <v>634</v>
      </c>
      <c r="F83" s="4"/>
      <c r="G83" s="4" t="s">
        <v>5</v>
      </c>
      <c r="H83" s="2">
        <f>$E83*$B$11+$B$10+'Станд.норм.распр.'!B76*$B$12+H82</f>
        <v>39022.230569887397</v>
      </c>
      <c r="I83" s="2">
        <f>$E83*$B$11+$B$10+'Станд.норм.распр.'!C76*$B$12+I82</f>
        <v>39023.996208437849</v>
      </c>
      <c r="J83" s="2">
        <f>$E83*$B$11+$B$10+'Станд.норм.распр.'!D76*$B$12+J82</f>
        <v>39056.022015723967</v>
      </c>
      <c r="K83" s="2">
        <f>$E83*$B$11+$B$10+'Станд.норм.распр.'!E76*$B$12+K82</f>
        <v>39033.4047488043</v>
      </c>
      <c r="L83" s="2">
        <f>$E83*$B$11+$B$10+'Станд.норм.распр.'!F76*$B$12+L82</f>
        <v>39048.784740586882</v>
      </c>
      <c r="M83" s="2">
        <f>$E83*$B$11+$B$10+'Станд.норм.распр.'!G76*$B$12+M82</f>
        <v>39029.81298763791</v>
      </c>
      <c r="N83" s="2">
        <f>$E83*$B$11+$B$10+'Станд.норм.распр.'!H76*$B$12+N82</f>
        <v>39031.623410601751</v>
      </c>
      <c r="O83" s="2">
        <f>$E83*$B$11+$B$10+'Станд.норм.распр.'!I76*$B$12+O82</f>
        <v>39014.916028203472</v>
      </c>
      <c r="P83" s="2">
        <f>$E83*$B$11+$B$10+'Станд.норм.распр.'!J76*$B$12+P82</f>
        <v>39027.335710941144</v>
      </c>
      <c r="Q83" s="2">
        <f>$E83*$B$11+$B$10+'Станд.норм.распр.'!K76*$B$12+Q82</f>
        <v>39030.860044838162</v>
      </c>
    </row>
    <row r="84" spans="3:17" x14ac:dyDescent="0.35">
      <c r="C84" s="4" t="s">
        <v>83</v>
      </c>
      <c r="D84" s="4" t="s">
        <v>5</v>
      </c>
      <c r="E84" s="4">
        <v>407</v>
      </c>
      <c r="F84" s="4"/>
      <c r="G84" s="4" t="s">
        <v>5</v>
      </c>
      <c r="H84" s="2">
        <f>$E84*$B$11+$B$10+'Станд.норм.распр.'!B77*$B$12+H83</f>
        <v>39432.03377421711</v>
      </c>
      <c r="I84" s="2">
        <f>$E84*$B$11+$B$10+'Станд.норм.распр.'!C77*$B$12+I83</f>
        <v>39432.922877016914</v>
      </c>
      <c r="J84" s="2">
        <f>$E84*$B$11+$B$10+'Станд.норм.распр.'!D77*$B$12+J83</f>
        <v>39460.540230576051</v>
      </c>
      <c r="K84" s="2">
        <f>$E84*$B$11+$B$10+'Станд.норм.распр.'!E77*$B$12+K83</f>
        <v>39436.549449199127</v>
      </c>
      <c r="L84" s="2">
        <f>$E84*$B$11+$B$10+'Станд.норм.распр.'!F77*$B$12+L83</f>
        <v>39456.142629712936</v>
      </c>
      <c r="M84" s="2">
        <f>$E84*$B$11+$B$10+'Станд.норм.распр.'!G77*$B$12+M83</f>
        <v>39441.113133844745</v>
      </c>
      <c r="N84" s="2">
        <f>$E84*$B$11+$B$10+'Станд.норм.распр.'!H77*$B$12+N83</f>
        <v>39439.617227518233</v>
      </c>
      <c r="O84" s="2">
        <f>$E84*$B$11+$B$10+'Станд.норм.распр.'!I77*$B$12+O83</f>
        <v>39423.174978741677</v>
      </c>
      <c r="P84" s="2">
        <f>$E84*$B$11+$B$10+'Станд.норм.распр.'!J77*$B$12+P83</f>
        <v>39437.261888049485</v>
      </c>
      <c r="Q84" s="2">
        <f>$E84*$B$11+$B$10+'Станд.норм.распр.'!K77*$B$12+Q83</f>
        <v>39440.255344204736</v>
      </c>
    </row>
    <row r="85" spans="3:17" x14ac:dyDescent="0.35">
      <c r="C85" s="4" t="s">
        <v>84</v>
      </c>
      <c r="D85" s="4" t="s">
        <v>5</v>
      </c>
      <c r="E85" s="4">
        <v>923</v>
      </c>
      <c r="F85" s="4"/>
      <c r="G85" s="4" t="s">
        <v>5</v>
      </c>
      <c r="H85" s="2">
        <f>$E85*$B$11+$B$10+'Станд.норм.распр.'!B78*$B$12+H84</f>
        <v>40353.749961741836</v>
      </c>
      <c r="I85" s="2">
        <f>$E85*$B$11+$B$10+'Станд.норм.распр.'!C78*$B$12+I84</f>
        <v>40359.050082012924</v>
      </c>
      <c r="J85" s="2">
        <f>$E85*$B$11+$B$10+'Станд.норм.распр.'!D78*$B$12+J84</f>
        <v>40384.485357693673</v>
      </c>
      <c r="K85" s="2">
        <f>$E85*$B$11+$B$10+'Станд.норм.распр.'!E78*$B$12+K84</f>
        <v>40363.873994875074</v>
      </c>
      <c r="L85" s="2">
        <f>$E85*$B$11+$B$10+'Станд.норм.распр.'!F78*$B$12+L84</f>
        <v>40378.3284643855</v>
      </c>
      <c r="M85" s="2">
        <f>$E85*$B$11+$B$10+'Станд.норм.распр.'!G78*$B$12+M84</f>
        <v>40361.592472239689</v>
      </c>
      <c r="N85" s="2">
        <f>$E85*$B$11+$B$10+'Станд.норм.распр.'!H78*$B$12+N84</f>
        <v>40368.157733398286</v>
      </c>
      <c r="O85" s="2">
        <f>$E85*$B$11+$B$10+'Станд.норм.распр.'!I78*$B$12+O84</f>
        <v>40349.242068411637</v>
      </c>
      <c r="P85" s="2">
        <f>$E85*$B$11+$B$10+'Станд.норм.распр.'!J78*$B$12+P84</f>
        <v>40362.168355614354</v>
      </c>
      <c r="Q85" s="2">
        <f>$E85*$B$11+$B$10+'Станд.норм.распр.'!K78*$B$12+Q84</f>
        <v>40362.418293716866</v>
      </c>
    </row>
    <row r="86" spans="3:17" x14ac:dyDescent="0.35">
      <c r="C86" s="4" t="s">
        <v>85</v>
      </c>
      <c r="D86" s="4" t="s">
        <v>5</v>
      </c>
      <c r="E86" s="4">
        <v>235</v>
      </c>
      <c r="F86" s="4"/>
      <c r="G86" s="4" t="s">
        <v>5</v>
      </c>
      <c r="H86" s="2">
        <f>$E86*$B$11+$B$10+'Станд.норм.распр.'!B79*$B$12+H85</f>
        <v>40584.3500294244</v>
      </c>
      <c r="I86" s="2">
        <f>$E86*$B$11+$B$10+'Станд.норм.распр.'!C79*$B$12+I85</f>
        <v>40598.201832790481</v>
      </c>
      <c r="J86" s="2">
        <f>$E86*$B$11+$B$10+'Станд.норм.распр.'!D79*$B$12+J85</f>
        <v>40618.726307745164</v>
      </c>
      <c r="K86" s="2">
        <f>$E86*$B$11+$B$10+'Станд.норм.распр.'!E79*$B$12+K85</f>
        <v>40600.75588902997</v>
      </c>
      <c r="L86" s="2">
        <f>$E86*$B$11+$B$10+'Станд.норм.распр.'!F79*$B$12+L85</f>
        <v>40611.238057439012</v>
      </c>
      <c r="M86" s="2">
        <f>$E86*$B$11+$B$10+'Станд.норм.распр.'!G79*$B$12+M85</f>
        <v>40599.246046501066</v>
      </c>
      <c r="N86" s="2">
        <f>$E86*$B$11+$B$10+'Станд.норм.распр.'!H79*$B$12+N85</f>
        <v>40603.615757891006</v>
      </c>
      <c r="O86" s="2">
        <f>$E86*$B$11+$B$10+'Станд.норм.распр.'!I79*$B$12+O85</f>
        <v>40588.715759849991</v>
      </c>
      <c r="P86" s="2">
        <f>$E86*$B$11+$B$10+'Станд.норм.распр.'!J79*$B$12+P85</f>
        <v>40605.372464627551</v>
      </c>
      <c r="Q86" s="2">
        <f>$E86*$B$11+$B$10+'Станд.норм.распр.'!K79*$B$12+Q85</f>
        <v>40600.401202830966</v>
      </c>
    </row>
    <row r="87" spans="3:17" x14ac:dyDescent="0.35">
      <c r="C87" s="4" t="s">
        <v>86</v>
      </c>
      <c r="D87" s="4" t="s">
        <v>5</v>
      </c>
      <c r="E87" s="4">
        <v>314</v>
      </c>
      <c r="F87" s="4"/>
      <c r="G87" s="4" t="s">
        <v>5</v>
      </c>
      <c r="H87" s="2">
        <f>$E87*$B$11+$B$10+'Станд.норм.распр.'!B80*$B$12+H86</f>
        <v>40904.165372097777</v>
      </c>
      <c r="I87" s="2">
        <f>$E87*$B$11+$B$10+'Станд.норм.распр.'!C80*$B$12+I86</f>
        <v>40912.077598775126</v>
      </c>
      <c r="J87" s="2">
        <f>$E87*$B$11+$B$10+'Станд.норм.распр.'!D80*$B$12+J86</f>
        <v>40934.823284891478</v>
      </c>
      <c r="K87" s="2">
        <f>$E87*$B$11+$B$10+'Станд.норм.распр.'!E80*$B$12+K86</f>
        <v>40913.919193245034</v>
      </c>
      <c r="L87" s="2">
        <f>$E87*$B$11+$B$10+'Станд.норм.распр.'!F80*$B$12+L86</f>
        <v>40928.796208415675</v>
      </c>
      <c r="M87" s="2">
        <f>$E87*$B$11+$B$10+'Станд.норм.распр.'!G80*$B$12+M86</f>
        <v>40913.003669123951</v>
      </c>
      <c r="N87" s="2">
        <f>$E87*$B$11+$B$10+'Станд.норм.распр.'!H80*$B$12+N86</f>
        <v>40916.8995110369</v>
      </c>
      <c r="O87" s="2">
        <f>$E87*$B$11+$B$10+'Станд.норм.распр.'!I80*$B$12+O86</f>
        <v>40898.866626618896</v>
      </c>
      <c r="P87" s="2">
        <f>$E87*$B$11+$B$10+'Станд.норм.распр.'!J80*$B$12+P86</f>
        <v>40921.651820472674</v>
      </c>
      <c r="Q87" s="2">
        <f>$E87*$B$11+$B$10+'Станд.норм.распр.'!K80*$B$12+Q86</f>
        <v>40917.008788492749</v>
      </c>
    </row>
    <row r="88" spans="3:17" x14ac:dyDescent="0.35">
      <c r="C88" s="4" t="s">
        <v>87</v>
      </c>
      <c r="D88" s="4" t="s">
        <v>5</v>
      </c>
      <c r="E88" s="4">
        <v>911</v>
      </c>
      <c r="F88" s="4"/>
      <c r="G88" s="4" t="s">
        <v>5</v>
      </c>
      <c r="H88" s="2">
        <f>$E88*$B$11+$B$10+'Станд.норм.распр.'!B81*$B$12+H87</f>
        <v>41821.71311152773</v>
      </c>
      <c r="I88" s="2">
        <f>$E88*$B$11+$B$10+'Станд.норм.распр.'!C81*$B$12+I87</f>
        <v>41820.864007592492</v>
      </c>
      <c r="J88" s="2">
        <f>$E88*$B$11+$B$10+'Станд.норм.распр.'!D81*$B$12+J87</f>
        <v>41848.319527938133</v>
      </c>
      <c r="K88" s="2">
        <f>$E88*$B$11+$B$10+'Станд.норм.распр.'!E81*$B$12+K87</f>
        <v>41822.960285590001</v>
      </c>
      <c r="L88" s="2">
        <f>$E88*$B$11+$B$10+'Станд.норм.распр.'!F81*$B$12+L87</f>
        <v>41840.607933124178</v>
      </c>
      <c r="M88" s="2">
        <f>$E88*$B$11+$B$10+'Станд.норм.распр.'!G81*$B$12+M87</f>
        <v>41822.823184341745</v>
      </c>
      <c r="N88" s="2">
        <f>$E88*$B$11+$B$10+'Станд.норм.распр.'!H81*$B$12+N87</f>
        <v>41830.109324643388</v>
      </c>
      <c r="O88" s="2">
        <f>$E88*$B$11+$B$10+'Станд.норм.распр.'!I81*$B$12+O87</f>
        <v>41814.947030604118</v>
      </c>
      <c r="P88" s="2">
        <f>$E88*$B$11+$B$10+'Станд.норм.распр.'!J81*$B$12+P87</f>
        <v>41833.286139144649</v>
      </c>
      <c r="Q88" s="2">
        <f>$E88*$B$11+$B$10+'Станд.норм.распр.'!K81*$B$12+Q87</f>
        <v>41829.721595077033</v>
      </c>
    </row>
    <row r="89" spans="3:17" x14ac:dyDescent="0.35">
      <c r="C89" s="4" t="s">
        <v>88</v>
      </c>
      <c r="D89" s="4" t="s">
        <v>5</v>
      </c>
      <c r="E89" s="4">
        <v>273</v>
      </c>
      <c r="F89" s="4"/>
      <c r="G89" s="4" t="s">
        <v>5</v>
      </c>
      <c r="H89" s="2">
        <f>$E89*$B$11+$B$10+'Станд.норм.распр.'!B82*$B$12+H88</f>
        <v>42098.205796969647</v>
      </c>
      <c r="I89" s="2">
        <f>$E89*$B$11+$B$10+'Станд.норм.распр.'!C82*$B$12+I88</f>
        <v>42087.627696332813</v>
      </c>
      <c r="J89" s="2">
        <f>$E89*$B$11+$B$10+'Станд.норм.распр.'!D82*$B$12+J88</f>
        <v>42123.555575919294</v>
      </c>
      <c r="K89" s="2">
        <f>$E89*$B$11+$B$10+'Станд.норм.распр.'!E82*$B$12+K88</f>
        <v>42099.831814228732</v>
      </c>
      <c r="L89" s="2">
        <f>$E89*$B$11+$B$10+'Станд.норм.распр.'!F82*$B$12+L88</f>
        <v>42116.301046530847</v>
      </c>
      <c r="M89" s="2">
        <f>$E89*$B$11+$B$10+'Станд.норм.распр.'!G82*$B$12+M88</f>
        <v>42092.219341831718</v>
      </c>
      <c r="N89" s="2">
        <f>$E89*$B$11+$B$10+'Станд.норм.распр.'!H82*$B$12+N88</f>
        <v>42104.502206234509</v>
      </c>
      <c r="O89" s="2">
        <f>$E89*$B$11+$B$10+'Станд.норм.распр.'!I82*$B$12+O88</f>
        <v>42090.012326639364</v>
      </c>
      <c r="P89" s="2">
        <f>$E89*$B$11+$B$10+'Станд.норм.распр.'!J82*$B$12+P88</f>
        <v>42107.529701032501</v>
      </c>
      <c r="Q89" s="2">
        <f>$E89*$B$11+$B$10+'Станд.норм.распр.'!K82*$B$12+Q88</f>
        <v>42103.687563053521</v>
      </c>
    </row>
    <row r="90" spans="3:17" x14ac:dyDescent="0.35">
      <c r="C90" s="4" t="s">
        <v>89</v>
      </c>
      <c r="D90" s="4" t="s">
        <v>5</v>
      </c>
      <c r="E90" s="4">
        <v>403</v>
      </c>
      <c r="F90" s="4"/>
      <c r="G90" s="4" t="s">
        <v>5</v>
      </c>
      <c r="H90" s="2">
        <f>$E90*$B$11+$B$10+'Станд.норм.распр.'!B83*$B$12+H89</f>
        <v>42506.621013239434</v>
      </c>
      <c r="I90" s="2">
        <f>$E90*$B$11+$B$10+'Станд.норм.распр.'!C83*$B$12+I89</f>
        <v>42493.745058322413</v>
      </c>
      <c r="J90" s="2">
        <f>$E90*$B$11+$B$10+'Станд.норм.распр.'!D83*$B$12+J89</f>
        <v>42532.338803303996</v>
      </c>
      <c r="K90" s="2">
        <f>$E90*$B$11+$B$10+'Станд.норм.распр.'!E83*$B$12+K89</f>
        <v>42498.918397912115</v>
      </c>
      <c r="L90" s="2">
        <f>$E90*$B$11+$B$10+'Станд.норм.распр.'!F83*$B$12+L89</f>
        <v>42524.719768902709</v>
      </c>
      <c r="M90" s="2">
        <f>$E90*$B$11+$B$10+'Станд.норм.распр.'!G83*$B$12+M89</f>
        <v>42497.066086290128</v>
      </c>
      <c r="N90" s="2">
        <f>$E90*$B$11+$B$10+'Станд.норм.распр.'!H83*$B$12+N89</f>
        <v>42512.454405572833</v>
      </c>
      <c r="O90" s="2">
        <f>$E90*$B$11+$B$10+'Станд.норм.распр.'!I83*$B$12+O89</f>
        <v>42496.099242156954</v>
      </c>
      <c r="P90" s="2">
        <f>$E90*$B$11+$B$10+'Станд.норм.распр.'!J83*$B$12+P89</f>
        <v>42514.04109943402</v>
      </c>
      <c r="Q90" s="2">
        <f>$E90*$B$11+$B$10+'Станд.норм.распр.'!K83*$B$12+Q89</f>
        <v>42507.420377621849</v>
      </c>
    </row>
    <row r="91" spans="3:17" x14ac:dyDescent="0.35">
      <c r="C91" s="4" t="s">
        <v>90</v>
      </c>
      <c r="D91" s="4" t="s">
        <v>5</v>
      </c>
      <c r="E91" s="4">
        <v>692</v>
      </c>
      <c r="F91" s="4"/>
      <c r="G91" s="4" t="s">
        <v>5</v>
      </c>
      <c r="H91" s="2">
        <f>$E91*$B$11+$B$10+'Станд.норм.распр.'!B84*$B$12+H90</f>
        <v>43200.479016105382</v>
      </c>
      <c r="I91" s="2">
        <f>$E91*$B$11+$B$10+'Станд.норм.распр.'!C84*$B$12+I90</f>
        <v>43189.756947004731</v>
      </c>
      <c r="J91" s="2">
        <f>$E91*$B$11+$B$10+'Станд.норм.распр.'!D84*$B$12+J90</f>
        <v>43227.197095727795</v>
      </c>
      <c r="K91" s="2">
        <f>$E91*$B$11+$B$10+'Станд.норм.распр.'!E84*$B$12+K90</f>
        <v>43194.928274337406</v>
      </c>
      <c r="L91" s="2">
        <f>$E91*$B$11+$B$10+'Станд.норм.распр.'!F84*$B$12+L90</f>
        <v>43215.424653682028</v>
      </c>
      <c r="M91" s="2">
        <f>$E91*$B$11+$B$10+'Станд.норм.распр.'!G84*$B$12+M90</f>
        <v>43189.013495446168</v>
      </c>
      <c r="N91" s="2">
        <f>$E91*$B$11+$B$10+'Станд.норм.распр.'!H84*$B$12+N90</f>
        <v>43203.649844509448</v>
      </c>
      <c r="O91" s="2">
        <f>$E91*$B$11+$B$10+'Станд.норм.распр.'!I84*$B$12+O90</f>
        <v>43194.009337231342</v>
      </c>
      <c r="P91" s="2">
        <f>$E91*$B$11+$B$10+'Станд.норм.распр.'!J84*$B$12+P90</f>
        <v>43206.66828312006</v>
      </c>
      <c r="Q91" s="2">
        <f>$E91*$B$11+$B$10+'Станд.норм.распр.'!K84*$B$12+Q90</f>
        <v>43200.463825664207</v>
      </c>
    </row>
    <row r="92" spans="3:17" x14ac:dyDescent="0.35">
      <c r="C92" s="4" t="s">
        <v>91</v>
      </c>
      <c r="D92" s="4" t="s">
        <v>5</v>
      </c>
      <c r="E92" s="4">
        <v>429</v>
      </c>
      <c r="F92" s="4"/>
      <c r="G92" s="4" t="s">
        <v>5</v>
      </c>
      <c r="H92" s="2">
        <f>$E92*$B$11+$B$10+'Станд.норм.распр.'!B85*$B$12+H91</f>
        <v>43633.654279594717</v>
      </c>
      <c r="I92" s="2">
        <f>$E92*$B$11+$B$10+'Станд.норм.распр.'!C85*$B$12+I91</f>
        <v>43616.048292844818</v>
      </c>
      <c r="J92" s="2">
        <f>$E92*$B$11+$B$10+'Станд.норм.распр.'!D85*$B$12+J91</f>
        <v>43660.114565217649</v>
      </c>
      <c r="K92" s="2">
        <f>$E92*$B$11+$B$10+'Станд.норм.распр.'!E85*$B$12+K91</f>
        <v>43626.664828621637</v>
      </c>
      <c r="L92" s="2">
        <f>$E92*$B$11+$B$10+'Станд.норм.распр.'!F85*$B$12+L91</f>
        <v>43641.334093601894</v>
      </c>
      <c r="M92" s="2">
        <f>$E92*$B$11+$B$10+'Станд.норм.распр.'!G85*$B$12+M91</f>
        <v>43622.468530874452</v>
      </c>
      <c r="N92" s="2">
        <f>$E92*$B$11+$B$10+'Станд.норм.распр.'!H85*$B$12+N91</f>
        <v>43632.89730506255</v>
      </c>
      <c r="O92" s="2">
        <f>$E92*$B$11+$B$10+'Станд.норм.распр.'!I85*$B$12+O91</f>
        <v>43625.8714563541</v>
      </c>
      <c r="P92" s="2">
        <f>$E92*$B$11+$B$10+'Станд.норм.распр.'!J85*$B$12+P91</f>
        <v>43640.992504444934</v>
      </c>
      <c r="Q92" s="2">
        <f>$E92*$B$11+$B$10+'Станд.норм.распр.'!K85*$B$12+Q91</f>
        <v>43632.039355048357</v>
      </c>
    </row>
    <row r="93" spans="3:17" x14ac:dyDescent="0.35">
      <c r="C93" s="4" t="s">
        <v>92</v>
      </c>
      <c r="D93" s="4" t="s">
        <v>5</v>
      </c>
      <c r="E93" s="4">
        <v>902</v>
      </c>
      <c r="F93" s="4"/>
      <c r="G93" s="4" t="s">
        <v>5</v>
      </c>
      <c r="H93" s="2">
        <f>$E93*$B$11+$B$10+'Станд.норм.распр.'!B86*$B$12+H92</f>
        <v>44536.571528425993</v>
      </c>
      <c r="I93" s="2">
        <f>$E93*$B$11+$B$10+'Станд.норм.распр.'!C86*$B$12+I92</f>
        <v>44521.106828717107</v>
      </c>
      <c r="J93" s="2">
        <f>$E93*$B$11+$B$10+'Станд.норм.распр.'!D86*$B$12+J92</f>
        <v>44568.152121427018</v>
      </c>
      <c r="K93" s="2">
        <f>$E93*$B$11+$B$10+'Станд.норм.распр.'!E86*$B$12+K92</f>
        <v>44525.968725488608</v>
      </c>
      <c r="L93" s="2">
        <f>$E93*$B$11+$B$10+'Станд.норм.распр.'!F86*$B$12+L92</f>
        <v>44546.566433911692</v>
      </c>
      <c r="M93" s="2">
        <f>$E93*$B$11+$B$10+'Станд.норм.распр.'!G86*$B$12+M92</f>
        <v>44526.784786056494</v>
      </c>
      <c r="N93" s="2">
        <f>$E93*$B$11+$B$10+'Станд.норм.распр.'!H86*$B$12+N92</f>
        <v>44536.518666502045</v>
      </c>
      <c r="O93" s="2">
        <f>$E93*$B$11+$B$10+'Станд.норм.распр.'!I86*$B$12+O92</f>
        <v>44525.258694768068</v>
      </c>
      <c r="P93" s="2">
        <f>$E93*$B$11+$B$10+'Станд.норм.распр.'!J86*$B$12+P92</f>
        <v>44545.433686682343</v>
      </c>
      <c r="Q93" s="2">
        <f>$E93*$B$11+$B$10+'Станд.норм.распр.'!K86*$B$12+Q92</f>
        <v>44535.28528389617</v>
      </c>
    </row>
    <row r="94" spans="3:17" x14ac:dyDescent="0.35">
      <c r="C94" s="4" t="s">
        <v>93</v>
      </c>
      <c r="D94" s="4" t="s">
        <v>5</v>
      </c>
      <c r="E94" s="4">
        <v>283</v>
      </c>
      <c r="F94" s="4"/>
      <c r="G94" s="4" t="s">
        <v>5</v>
      </c>
      <c r="H94" s="2">
        <f>$E94*$B$11+$B$10+'Станд.норм.распр.'!B87*$B$12+H93</f>
        <v>44820.8191148279</v>
      </c>
      <c r="I94" s="2">
        <f>$E94*$B$11+$B$10+'Станд.норм.распр.'!C87*$B$12+I93</f>
        <v>44808.311150562164</v>
      </c>
      <c r="J94" s="2">
        <f>$E94*$B$11+$B$10+'Станд.норм.распр.'!D87*$B$12+J93</f>
        <v>44849.626688041797</v>
      </c>
      <c r="K94" s="2">
        <f>$E94*$B$11+$B$10+'Станд.норм.распр.'!E87*$B$12+K93</f>
        <v>44815.702713623439</v>
      </c>
      <c r="L94" s="2">
        <f>$E94*$B$11+$B$10+'Станд.норм.распр.'!F87*$B$12+L93</f>
        <v>44831.830187587431</v>
      </c>
      <c r="M94" s="2">
        <f>$E94*$B$11+$B$10+'Станд.норм.распр.'!G87*$B$12+M93</f>
        <v>44814.681985976466</v>
      </c>
      <c r="N94" s="2">
        <f>$E94*$B$11+$B$10+'Станд.норм.распр.'!H87*$B$12+N93</f>
        <v>44821.372303793425</v>
      </c>
      <c r="O94" s="2">
        <f>$E94*$B$11+$B$10+'Станд.норм.распр.'!I87*$B$12+O93</f>
        <v>44808.567041443981</v>
      </c>
      <c r="P94" s="2">
        <f>$E94*$B$11+$B$10+'Станд.норм.распр.'!J87*$B$12+P93</f>
        <v>44831.609806577151</v>
      </c>
      <c r="Q94" s="2">
        <f>$E94*$B$11+$B$10+'Станд.норм.распр.'!K87*$B$12+Q93</f>
        <v>44819.918475375773</v>
      </c>
    </row>
    <row r="95" spans="3:17" x14ac:dyDescent="0.35">
      <c r="C95" s="4" t="s">
        <v>94</v>
      </c>
      <c r="D95" s="4" t="s">
        <v>5</v>
      </c>
      <c r="E95" s="4">
        <v>677</v>
      </c>
      <c r="F95" s="4"/>
      <c r="G95" s="4" t="s">
        <v>5</v>
      </c>
      <c r="H95" s="2">
        <f>$E95*$B$11+$B$10+'Станд.норм.распр.'!B88*$B$12+H94</f>
        <v>45502.557912603137</v>
      </c>
      <c r="I95" s="2">
        <f>$E95*$B$11+$B$10+'Станд.норм.распр.'!C88*$B$12+I94</f>
        <v>45483.193833941186</v>
      </c>
      <c r="J95" s="2">
        <f>$E95*$B$11+$B$10+'Станд.норм.распр.'!D88*$B$12+J94</f>
        <v>45530.079244303735</v>
      </c>
      <c r="K95" s="2">
        <f>$E95*$B$11+$B$10+'Станд.норм.распр.'!E88*$B$12+K94</f>
        <v>45494.044280280505</v>
      </c>
      <c r="L95" s="2">
        <f>$E95*$B$11+$B$10+'Станд.норм.распр.'!F88*$B$12+L94</f>
        <v>45510.45941388236</v>
      </c>
      <c r="M95" s="2">
        <f>$E95*$B$11+$B$10+'Станд.норм.распр.'!G88*$B$12+M94</f>
        <v>45495.688990672235</v>
      </c>
      <c r="N95" s="2">
        <f>$E95*$B$11+$B$10+'Станд.норм.распр.'!H88*$B$12+N94</f>
        <v>45498.650159659461</v>
      </c>
      <c r="O95" s="2">
        <f>$E95*$B$11+$B$10+'Станд.норм.распр.'!I88*$B$12+O94</f>
        <v>45487.511387189443</v>
      </c>
      <c r="P95" s="2">
        <f>$E95*$B$11+$B$10+'Станд.норм.распр.'!J88*$B$12+P94</f>
        <v>45516.07043095649</v>
      </c>
      <c r="Q95" s="2">
        <f>$E95*$B$11+$B$10+'Станд.норм.распр.'!K88*$B$12+Q94</f>
        <v>45497.116980102815</v>
      </c>
    </row>
    <row r="96" spans="3:17" x14ac:dyDescent="0.35">
      <c r="C96" s="4" t="s">
        <v>95</v>
      </c>
      <c r="D96" s="4" t="s">
        <v>5</v>
      </c>
      <c r="E96" s="4">
        <v>316</v>
      </c>
      <c r="F96" s="4"/>
      <c r="G96" s="4" t="s">
        <v>5</v>
      </c>
      <c r="H96" s="2">
        <f>$E96*$B$11+$B$10+'Станд.норм.распр.'!B89*$B$12+H95</f>
        <v>45819.830103110464</v>
      </c>
      <c r="I96" s="2">
        <f>$E96*$B$11+$B$10+'Станд.норм.распр.'!C89*$B$12+I95</f>
        <v>45801.619248951072</v>
      </c>
      <c r="J96" s="2">
        <f>$E96*$B$11+$B$10+'Станд.норм.распр.'!D89*$B$12+J95</f>
        <v>45850.564559084378</v>
      </c>
      <c r="K96" s="2">
        <f>$E96*$B$11+$B$10+'Станд.норм.распр.'!E89*$B$12+K95</f>
        <v>45814.152327563905</v>
      </c>
      <c r="L96" s="2">
        <f>$E96*$B$11+$B$10+'Станд.норм.распр.'!F89*$B$12+L95</f>
        <v>45827.977358953052</v>
      </c>
      <c r="M96" s="2">
        <f>$E96*$B$11+$B$10+'Станд.норм.распр.'!G89*$B$12+M95</f>
        <v>45818.460004336375</v>
      </c>
      <c r="N96" s="2">
        <f>$E96*$B$11+$B$10+'Станд.норм.распр.'!H89*$B$12+N95</f>
        <v>45813.332295702552</v>
      </c>
      <c r="O96" s="2">
        <f>$E96*$B$11+$B$10+'Станд.норм.распр.'!I89*$B$12+O95</f>
        <v>45810.653024492029</v>
      </c>
      <c r="P96" s="2">
        <f>$E96*$B$11+$B$10+'Станд.норм.распр.'!J89*$B$12+P95</f>
        <v>45833.417798022128</v>
      </c>
      <c r="Q96" s="2">
        <f>$E96*$B$11+$B$10+'Станд.норм.распр.'!K89*$B$12+Q95</f>
        <v>45815.541699349254</v>
      </c>
    </row>
    <row r="97" spans="3:17" x14ac:dyDescent="0.35">
      <c r="C97" s="4" t="s">
        <v>96</v>
      </c>
      <c r="D97" s="4" t="s">
        <v>5</v>
      </c>
      <c r="E97" s="4">
        <v>305</v>
      </c>
      <c r="F97" s="4"/>
      <c r="G97" s="4" t="s">
        <v>5</v>
      </c>
      <c r="H97" s="2">
        <f>$E97*$B$11+$B$10+'Станд.норм.распр.'!B90*$B$12+H96</f>
        <v>46124.446229958252</v>
      </c>
      <c r="I97" s="2">
        <f>$E97*$B$11+$B$10+'Станд.норм.распр.'!C90*$B$12+I96</f>
        <v>46110.574310130687</v>
      </c>
      <c r="J97" s="2">
        <f>$E97*$B$11+$B$10+'Станд.норм.распр.'!D90*$B$12+J96</f>
        <v>46156.619350799403</v>
      </c>
      <c r="K97" s="2">
        <f>$E97*$B$11+$B$10+'Станд.норм.распр.'!E90*$B$12+K96</f>
        <v>46120.34465058177</v>
      </c>
      <c r="L97" s="2">
        <f>$E97*$B$11+$B$10+'Станд.норм.распр.'!F90*$B$12+L96</f>
        <v>46136.540851968108</v>
      </c>
      <c r="M97" s="2">
        <f>$E97*$B$11+$B$10+'Станд.норм.распр.'!G90*$B$12+M96</f>
        <v>46121.817450770934</v>
      </c>
      <c r="N97" s="2">
        <f>$E97*$B$11+$B$10+'Станд.норм.распр.'!H90*$B$12+N96</f>
        <v>46120.147550043781</v>
      </c>
      <c r="O97" s="2">
        <f>$E97*$B$11+$B$10+'Станд.норм.распр.'!I90*$B$12+O96</f>
        <v>46118.856207538556</v>
      </c>
      <c r="P97" s="2">
        <f>$E97*$B$11+$B$10+'Станд.норм.распр.'!J90*$B$12+P96</f>
        <v>46144.033639728179</v>
      </c>
      <c r="Q97" s="2">
        <f>$E97*$B$11+$B$10+'Станд.норм.распр.'!K90*$B$12+Q96</f>
        <v>46127.124024695091</v>
      </c>
    </row>
    <row r="98" spans="3:17" x14ac:dyDescent="0.35">
      <c r="C98" s="4" t="s">
        <v>97</v>
      </c>
      <c r="D98" s="4" t="s">
        <v>5</v>
      </c>
      <c r="E98" s="4">
        <v>970</v>
      </c>
      <c r="F98" s="4"/>
      <c r="G98" s="4" t="s">
        <v>5</v>
      </c>
      <c r="H98" s="2">
        <f>$E98*$B$11+$B$10+'Станд.норм.распр.'!B91*$B$12+H97</f>
        <v>47095.241802040851</v>
      </c>
      <c r="I98" s="2">
        <f>$E98*$B$11+$B$10+'Станд.норм.распр.'!C91*$B$12+I97</f>
        <v>47080.997396384439</v>
      </c>
      <c r="J98" s="2">
        <f>$E98*$B$11+$B$10+'Станд.норм.распр.'!D91*$B$12+J97</f>
        <v>47127.826606795628</v>
      </c>
      <c r="K98" s="2">
        <f>$E98*$B$11+$B$10+'Станд.норм.распр.'!E91*$B$12+K97</f>
        <v>47089.818019730563</v>
      </c>
      <c r="L98" s="2">
        <f>$E98*$B$11+$B$10+'Станд.норм.распр.'!F91*$B$12+L97</f>
        <v>47108.998978091811</v>
      </c>
      <c r="M98" s="2">
        <f>$E98*$B$11+$B$10+'Станд.норм.распр.'!G91*$B$12+M97</f>
        <v>47089.892280821863</v>
      </c>
      <c r="N98" s="2">
        <f>$E98*$B$11+$B$10+'Станд.норм.распр.'!H91*$B$12+N97</f>
        <v>47090.144563040856</v>
      </c>
      <c r="O98" s="2">
        <f>$E98*$B$11+$B$10+'Станд.норм.распр.'!I91*$B$12+O97</f>
        <v>47093.035952563034</v>
      </c>
      <c r="P98" s="2">
        <f>$E98*$B$11+$B$10+'Станд.норм.распр.'!J91*$B$12+P97</f>
        <v>47116.63419954339</v>
      </c>
      <c r="Q98" s="2">
        <f>$E98*$B$11+$B$10+'Станд.норм.распр.'!K91*$B$12+Q97</f>
        <v>47098.747698524865</v>
      </c>
    </row>
    <row r="99" spans="3:17" x14ac:dyDescent="0.35">
      <c r="C99" s="4" t="s">
        <v>98</v>
      </c>
      <c r="D99" s="4" t="s">
        <v>5</v>
      </c>
      <c r="E99" s="4">
        <v>362</v>
      </c>
      <c r="F99" s="4"/>
      <c r="G99" s="4" t="s">
        <v>5</v>
      </c>
      <c r="H99" s="2">
        <f>$E99*$B$11+$B$10+'Станд.норм.распр.'!B92*$B$12+H98</f>
        <v>47453.527865197175</v>
      </c>
      <c r="I99" s="2">
        <f>$E99*$B$11+$B$10+'Станд.норм.распр.'!C92*$B$12+I98</f>
        <v>47439.307197352478</v>
      </c>
      <c r="J99" s="2">
        <f>$E99*$B$11+$B$10+'Станд.норм.распр.'!D92*$B$12+J98</f>
        <v>47487.557525067503</v>
      </c>
      <c r="K99" s="2">
        <f>$E99*$B$11+$B$10+'Станд.норм.распр.'!E92*$B$12+K98</f>
        <v>47455.371270698408</v>
      </c>
      <c r="L99" s="2">
        <f>$E99*$B$11+$B$10+'Станд.норм.распр.'!F92*$B$12+L98</f>
        <v>47473.814320765188</v>
      </c>
      <c r="M99" s="2">
        <f>$E99*$B$11+$B$10+'Станд.норм.распр.'!G92*$B$12+M98</f>
        <v>47458.046397872211</v>
      </c>
      <c r="N99" s="2">
        <f>$E99*$B$11+$B$10+'Станд.норм.распр.'!H92*$B$12+N98</f>
        <v>47457.63429183171</v>
      </c>
      <c r="O99" s="2">
        <f>$E99*$B$11+$B$10+'Станд.норм.распр.'!I92*$B$12+O98</f>
        <v>47460.360173887908</v>
      </c>
      <c r="P99" s="2">
        <f>$E99*$B$11+$B$10+'Станд.норм.распр.'!J92*$B$12+P98</f>
        <v>47481.664629967883</v>
      </c>
      <c r="Q99" s="2">
        <f>$E99*$B$11+$B$10+'Станд.норм.распр.'!K92*$B$12+Q98</f>
        <v>47462.294681487649</v>
      </c>
    </row>
    <row r="100" spans="3:17" x14ac:dyDescent="0.35">
      <c r="C100" s="4" t="s">
        <v>99</v>
      </c>
      <c r="D100" s="4" t="s">
        <v>5</v>
      </c>
      <c r="E100" s="4">
        <v>836</v>
      </c>
      <c r="F100" s="4"/>
      <c r="G100" s="4" t="s">
        <v>5</v>
      </c>
      <c r="H100" s="2">
        <f>$E100*$B$11+$B$10+'Станд.норм.распр.'!B93*$B$12+H99</f>
        <v>48298.797692817068</v>
      </c>
      <c r="I100" s="2">
        <f>$E100*$B$11+$B$10+'Станд.норм.распр.'!C93*$B$12+I99</f>
        <v>48281.120608592595</v>
      </c>
      <c r="J100" s="2">
        <f>$E100*$B$11+$B$10+'Станд.норм.распр.'!D93*$B$12+J99</f>
        <v>48320.587399245022</v>
      </c>
      <c r="K100" s="2">
        <f>$E100*$B$11+$B$10+'Станд.норм.распр.'!E93*$B$12+K99</f>
        <v>48296.019066707522</v>
      </c>
      <c r="L100" s="2">
        <f>$E100*$B$11+$B$10+'Станд.норм.распр.'!F93*$B$12+L99</f>
        <v>48310.475566164678</v>
      </c>
      <c r="M100" s="2">
        <f>$E100*$B$11+$B$10+'Станд.норм.распр.'!G93*$B$12+M99</f>
        <v>48300.680236997956</v>
      </c>
      <c r="N100" s="2">
        <f>$E100*$B$11+$B$10+'Станд.норм.распр.'!H93*$B$12+N99</f>
        <v>48291.227476225948</v>
      </c>
      <c r="O100" s="2">
        <f>$E100*$B$11+$B$10+'Станд.норм.распр.'!I93*$B$12+O99</f>
        <v>48302.201263219424</v>
      </c>
      <c r="P100" s="2">
        <f>$E100*$B$11+$B$10+'Станд.норм.распр.'!J93*$B$12+P99</f>
        <v>48318.295381146891</v>
      </c>
      <c r="Q100" s="2">
        <f>$E100*$B$11+$B$10+'Станд.норм.распр.'!K93*$B$12+Q99</f>
        <v>48304.117369573723</v>
      </c>
    </row>
    <row r="101" spans="3:17" x14ac:dyDescent="0.35">
      <c r="C101" s="4" t="s">
        <v>100</v>
      </c>
      <c r="D101" s="4" t="s">
        <v>5</v>
      </c>
      <c r="E101" s="4">
        <v>66</v>
      </c>
      <c r="F101" s="4"/>
      <c r="G101" s="4" t="s">
        <v>5</v>
      </c>
      <c r="H101" s="2">
        <f>$E101*$B$11+$B$10+'Станд.норм.распр.'!B94*$B$12+H100</f>
        <v>48369.463490000067</v>
      </c>
      <c r="I101" s="2">
        <f>$E101*$B$11+$B$10+'Станд.норм.распр.'!C94*$B$12+I100</f>
        <v>48352.187827178379</v>
      </c>
      <c r="J101" s="2">
        <f>$E101*$B$11+$B$10+'Станд.норм.распр.'!D94*$B$12+J100</f>
        <v>48383.3010864526</v>
      </c>
      <c r="K101" s="2">
        <f>$E101*$B$11+$B$10+'Станд.норм.распр.'!E94*$B$12+K100</f>
        <v>48366.194030063605</v>
      </c>
      <c r="L101" s="2">
        <f>$E101*$B$11+$B$10+'Станд.норм.распр.'!F94*$B$12+L100</f>
        <v>48381.224472973525</v>
      </c>
      <c r="M101" s="2">
        <f>$E101*$B$11+$B$10+'Станд.норм.распр.'!G94*$B$12+M100</f>
        <v>48368.82154518977</v>
      </c>
      <c r="N101" s="2">
        <f>$E101*$B$11+$B$10+'Станд.норм.распр.'!H94*$B$12+N100</f>
        <v>48360.008341092049</v>
      </c>
      <c r="O101" s="2">
        <f>$E101*$B$11+$B$10+'Станд.норм.распр.'!I94*$B$12+O100</f>
        <v>48372.073347786791</v>
      </c>
      <c r="P101" s="2">
        <f>$E101*$B$11+$B$10+'Станд.норм.распр.'!J94*$B$12+P100</f>
        <v>48376.7504889103</v>
      </c>
      <c r="Q101" s="2">
        <f>$E101*$B$11+$B$10+'Станд.норм.распр.'!K94*$B$12+Q100</f>
        <v>48373.521856766936</v>
      </c>
    </row>
    <row r="102" spans="3:17" x14ac:dyDescent="0.35">
      <c r="C102" s="4" t="s">
        <v>101</v>
      </c>
      <c r="D102" s="4" t="s">
        <v>5</v>
      </c>
      <c r="E102" s="4">
        <v>590</v>
      </c>
      <c r="F102" s="4"/>
      <c r="G102" s="4" t="s">
        <v>5</v>
      </c>
      <c r="H102" s="2">
        <f>$E102*$B$11+$B$10+'Станд.норм.распр.'!B95*$B$12+H101</f>
        <v>48960.89567199412</v>
      </c>
      <c r="I102" s="2">
        <f>$E102*$B$11+$B$10+'Станд.норм.распр.'!C95*$B$12+I101</f>
        <v>48945.33253881053</v>
      </c>
      <c r="J102" s="2">
        <f>$E102*$B$11+$B$10+'Станд.норм.распр.'!D95*$B$12+J101</f>
        <v>48977.8280447219</v>
      </c>
      <c r="K102" s="2">
        <f>$E102*$B$11+$B$10+'Станд.норм.распр.'!E95*$B$12+K101</f>
        <v>48955.288405948959</v>
      </c>
      <c r="L102" s="2">
        <f>$E102*$B$11+$B$10+'Станд.норм.распр.'!F95*$B$12+L101</f>
        <v>48970.452783322398</v>
      </c>
      <c r="M102" s="2">
        <f>$E102*$B$11+$B$10+'Станд.норм.распр.'!G95*$B$12+M101</f>
        <v>48955.044389369374</v>
      </c>
      <c r="N102" s="2">
        <f>$E102*$B$11+$B$10+'Станд.норм.распр.'!H95*$B$12+N101</f>
        <v>48949.591279341301</v>
      </c>
      <c r="O102" s="2">
        <f>$E102*$B$11+$B$10+'Станд.норм.распр.'!I95*$B$12+O101</f>
        <v>48962.767723804529</v>
      </c>
      <c r="P102" s="2">
        <f>$E102*$B$11+$B$10+'Станд.норм.распр.'!J95*$B$12+P101</f>
        <v>48967.199598081206</v>
      </c>
      <c r="Q102" s="2">
        <f>$E102*$B$11+$B$10+'Станд.норм.распр.'!K95*$B$12+Q101</f>
        <v>48963.058831321585</v>
      </c>
    </row>
    <row r="103" spans="3:17" x14ac:dyDescent="0.35">
      <c r="C103" s="4" t="s">
        <v>102</v>
      </c>
      <c r="D103" s="4" t="s">
        <v>5</v>
      </c>
      <c r="E103" s="4">
        <v>852</v>
      </c>
      <c r="F103" s="4"/>
      <c r="G103" s="4" t="s">
        <v>5</v>
      </c>
      <c r="H103" s="2">
        <f>$E103*$B$11+$B$10+'Станд.норм.распр.'!B96*$B$12+H102</f>
        <v>49812.738280075675</v>
      </c>
      <c r="I103" s="2">
        <f>$E103*$B$11+$B$10+'Станд.норм.распр.'!C96*$B$12+I102</f>
        <v>49802.474633821374</v>
      </c>
      <c r="J103" s="2">
        <f>$E103*$B$11+$B$10+'Станд.норм.распр.'!D96*$B$12+J102</f>
        <v>49826.011028128574</v>
      </c>
      <c r="K103" s="2">
        <f>$E103*$B$11+$B$10+'Станд.норм.распр.'!E96*$B$12+K102</f>
        <v>49806.996261021763</v>
      </c>
      <c r="L103" s="2">
        <f>$E103*$B$11+$B$10+'Станд.норм.распр.'!F96*$B$12+L102</f>
        <v>49826.067769653731</v>
      </c>
      <c r="M103" s="2">
        <f>$E103*$B$11+$B$10+'Станд.норм.распр.'!G96*$B$12+M102</f>
        <v>49810.635286596662</v>
      </c>
      <c r="N103" s="2">
        <f>$E103*$B$11+$B$10+'Станд.норм.распр.'!H96*$B$12+N102</f>
        <v>49801.277562336647</v>
      </c>
      <c r="O103" s="2">
        <f>$E103*$B$11+$B$10+'Станд.норм.распр.'!I96*$B$12+O102</f>
        <v>49810.839819237313</v>
      </c>
      <c r="P103" s="2">
        <f>$E103*$B$11+$B$10+'Станд.норм.распр.'!J96*$B$12+P102</f>
        <v>49823.800627872755</v>
      </c>
      <c r="Q103" s="2">
        <f>$E103*$B$11+$B$10+'Станд.норм.распр.'!K96*$B$12+Q102</f>
        <v>49820.32764395549</v>
      </c>
    </row>
    <row r="104" spans="3:17" x14ac:dyDescent="0.35">
      <c r="C104" s="4" t="s">
        <v>103</v>
      </c>
      <c r="D104" s="4" t="s">
        <v>5</v>
      </c>
      <c r="E104" s="4">
        <v>963</v>
      </c>
      <c r="F104" s="4"/>
      <c r="G104" s="4" t="s">
        <v>5</v>
      </c>
      <c r="H104" s="2">
        <f>$E104*$B$11+$B$10+'Станд.норм.распр.'!B97*$B$12+H103</f>
        <v>50779.808599245109</v>
      </c>
      <c r="I104" s="2">
        <f>$E104*$B$11+$B$10+'Станд.норм.распр.'!C97*$B$12+I103</f>
        <v>50765.497096753941</v>
      </c>
      <c r="J104" s="2">
        <f>$E104*$B$11+$B$10+'Станд.норм.распр.'!D97*$B$12+J103</f>
        <v>50791.845916979961</v>
      </c>
      <c r="K104" s="2">
        <f>$E104*$B$11+$B$10+'Станд.норм.распр.'!E97*$B$12+K103</f>
        <v>50772.989347381575</v>
      </c>
      <c r="L104" s="2">
        <f>$E104*$B$11+$B$10+'Станд.норм.распр.'!F97*$B$12+L103</f>
        <v>50791.141101074667</v>
      </c>
      <c r="M104" s="2">
        <f>$E104*$B$11+$B$10+'Станд.норм.распр.'!G97*$B$12+M103</f>
        <v>50777.595173782538</v>
      </c>
      <c r="N104" s="2">
        <f>$E104*$B$11+$B$10+'Станд.норм.распр.'!H97*$B$12+N103</f>
        <v>50769.645814573771</v>
      </c>
      <c r="O104" s="2">
        <f>$E104*$B$11+$B$10+'Станд.норм.распр.'!I97*$B$12+O103</f>
        <v>50778.553296680053</v>
      </c>
      <c r="P104" s="2">
        <f>$E104*$B$11+$B$10+'Станд.норм.распр.'!J97*$B$12+P103</f>
        <v>50787.615579013713</v>
      </c>
      <c r="Q104" s="2">
        <f>$E104*$B$11+$B$10+'Станд.норм.распр.'!K97*$B$12+Q103</f>
        <v>50783.310871286623</v>
      </c>
    </row>
    <row r="105" spans="3:17" x14ac:dyDescent="0.35">
      <c r="C105" s="4" t="s">
        <v>104</v>
      </c>
      <c r="D105" s="4" t="s">
        <v>5</v>
      </c>
      <c r="E105" s="4">
        <v>802</v>
      </c>
      <c r="F105" s="4"/>
      <c r="G105" s="4" t="s">
        <v>5</v>
      </c>
      <c r="H105" s="2">
        <f>$E105*$B$11+$B$10+'Станд.норм.распр.'!B98*$B$12+H104</f>
        <v>51580.818173844469</v>
      </c>
      <c r="I105" s="2">
        <f>$E105*$B$11+$B$10+'Станд.норм.распр.'!C98*$B$12+I104</f>
        <v>51575.399353570567</v>
      </c>
      <c r="J105" s="2">
        <f>$E105*$B$11+$B$10+'Станд.норм.распр.'!D98*$B$12+J104</f>
        <v>51595.952310807043</v>
      </c>
      <c r="K105" s="2">
        <f>$E105*$B$11+$B$10+'Станд.норм.распр.'!E98*$B$12+K104</f>
        <v>51576.672752169776</v>
      </c>
      <c r="L105" s="2">
        <f>$E105*$B$11+$B$10+'Станд.норм.распр.'!F98*$B$12+L104</f>
        <v>51595.692304992263</v>
      </c>
      <c r="M105" s="2">
        <f>$E105*$B$11+$B$10+'Станд.норм.распр.'!G98*$B$12+M104</f>
        <v>51585.912167691553</v>
      </c>
      <c r="N105" s="2">
        <f>$E105*$B$11+$B$10+'Станд.норм.распр.'!H98*$B$12+N104</f>
        <v>51576.797459278983</v>
      </c>
      <c r="O105" s="2">
        <f>$E105*$B$11+$B$10+'Станд.норм.распр.'!I98*$B$12+O104</f>
        <v>51581.305710965316</v>
      </c>
      <c r="P105" s="2">
        <f>$E105*$B$11+$B$10+'Станд.норм.распр.'!J98*$B$12+P104</f>
        <v>51589.319743811764</v>
      </c>
      <c r="Q105" s="2">
        <f>$E105*$B$11+$B$10+'Станд.норм.распр.'!K98*$B$12+Q104</f>
        <v>51586.088012459091</v>
      </c>
    </row>
    <row r="106" spans="3:17" x14ac:dyDescent="0.35">
      <c r="C106" s="4" t="s">
        <v>105</v>
      </c>
      <c r="D106" s="4" t="s">
        <v>5</v>
      </c>
      <c r="E106" s="4">
        <v>686</v>
      </c>
      <c r="F106" s="4"/>
      <c r="G106" s="4" t="s">
        <v>5</v>
      </c>
      <c r="H106" s="2">
        <f>$E106*$B$11+$B$10+'Станд.норм.распр.'!B99*$B$12+H105</f>
        <v>52265.117871912938</v>
      </c>
      <c r="I106" s="2">
        <f>$E106*$B$11+$B$10+'Станд.норм.распр.'!C99*$B$12+I105</f>
        <v>52264.319033476131</v>
      </c>
      <c r="J106" s="2">
        <f>$E106*$B$11+$B$10+'Станд.норм.распр.'!D99*$B$12+J105</f>
        <v>52277.690603494382</v>
      </c>
      <c r="K106" s="2">
        <f>$E106*$B$11+$B$10+'Станд.норм.распр.'!E99*$B$12+K105</f>
        <v>52265.298622085669</v>
      </c>
      <c r="L106" s="2">
        <f>$E106*$B$11+$B$10+'Станд.норм.распр.'!F99*$B$12+L105</f>
        <v>52279.290209664003</v>
      </c>
      <c r="M106" s="2">
        <f>$E106*$B$11+$B$10+'Станд.норм.распр.'!G99*$B$12+M105</f>
        <v>52273.565895773747</v>
      </c>
      <c r="N106" s="2">
        <f>$E106*$B$11+$B$10+'Станд.норм.распр.'!H99*$B$12+N105</f>
        <v>52266.404229462554</v>
      </c>
      <c r="O106" s="2">
        <f>$E106*$B$11+$B$10+'Станд.норм.распр.'!I99*$B$12+O105</f>
        <v>52263.981292512515</v>
      </c>
      <c r="P106" s="2">
        <f>$E106*$B$11+$B$10+'Станд.норм.распр.'!J99*$B$12+P105</f>
        <v>52278.542101280342</v>
      </c>
      <c r="Q106" s="2">
        <f>$E106*$B$11+$B$10+'Станд.норм.распр.'!K99*$B$12+Q105</f>
        <v>52271.338403065587</v>
      </c>
    </row>
    <row r="107" spans="3:17" x14ac:dyDescent="0.35">
      <c r="C107" s="4" t="s">
        <v>106</v>
      </c>
      <c r="D107" s="4" t="s">
        <v>5</v>
      </c>
      <c r="E107" s="4">
        <v>256</v>
      </c>
      <c r="F107" s="4"/>
      <c r="G107" s="4" t="s">
        <v>5</v>
      </c>
      <c r="H107" s="2">
        <f>$E107*$B$11+$B$10+'Станд.норм.распр.'!B100*$B$12+H106</f>
        <v>52519.786856662642</v>
      </c>
      <c r="I107" s="2">
        <f>$E107*$B$11+$B$10+'Станд.норм.распр.'!C100*$B$12+I106</f>
        <v>52530.877524138967</v>
      </c>
      <c r="J107" s="2">
        <f>$E107*$B$11+$B$10+'Станд.норм.распр.'!D100*$B$12+J106</f>
        <v>52538.139554403111</v>
      </c>
      <c r="K107" s="2">
        <f>$E107*$B$11+$B$10+'Станд.норм.распр.'!E100*$B$12+K106</f>
        <v>52522.725899629542</v>
      </c>
      <c r="L107" s="2">
        <f>$E107*$B$11+$B$10+'Станд.норм.распр.'!F100*$B$12+L106</f>
        <v>52533.272434964398</v>
      </c>
      <c r="M107" s="2">
        <f>$E107*$B$11+$B$10+'Станд.норм.распр.'!G100*$B$12+M106</f>
        <v>52528.758135562748</v>
      </c>
      <c r="N107" s="2">
        <f>$E107*$B$11+$B$10+'Станд.норм.распр.'!H100*$B$12+N106</f>
        <v>52524.089127065046</v>
      </c>
      <c r="O107" s="2">
        <f>$E107*$B$11+$B$10+'Станд.норм.распр.'!I100*$B$12+O106</f>
        <v>52523.995766433523</v>
      </c>
      <c r="P107" s="2">
        <f>$E107*$B$11+$B$10+'Станд.норм.распр.'!J100*$B$12+P106</f>
        <v>52530.794003815667</v>
      </c>
      <c r="Q107" s="2">
        <f>$E107*$B$11+$B$10+'Станд.норм.распр.'!K100*$B$12+Q106</f>
        <v>52526.655532393299</v>
      </c>
    </row>
    <row r="108" spans="3:17" x14ac:dyDescent="0.35">
      <c r="C108" s="4" t="s">
        <v>107</v>
      </c>
      <c r="D108" s="4" t="s">
        <v>5</v>
      </c>
      <c r="E108" s="4">
        <v>240</v>
      </c>
      <c r="F108" s="4"/>
      <c r="G108" s="4" t="s">
        <v>5</v>
      </c>
      <c r="H108" s="2">
        <f>$E108*$B$11+$B$10+'Станд.норм.распр.'!B101*$B$12+H107</f>
        <v>52765.017299988816</v>
      </c>
      <c r="I108" s="2">
        <f>$E108*$B$11+$B$10+'Станд.норм.распр.'!C101*$B$12+I107</f>
        <v>52770.68640815698</v>
      </c>
      <c r="J108" s="2">
        <f>$E108*$B$11+$B$10+'Станд.норм.распр.'!D101*$B$12+J107</f>
        <v>52775.435506939975</v>
      </c>
      <c r="K108" s="2">
        <f>$E108*$B$11+$B$10+'Станд.норм.распр.'!E101*$B$12+K107</f>
        <v>52765.638604847612</v>
      </c>
      <c r="L108" s="2">
        <f>$E108*$B$11+$B$10+'Станд.норм.распр.'!F101*$B$12+L107</f>
        <v>52773.346793664648</v>
      </c>
      <c r="M108" s="2">
        <f>$E108*$B$11+$B$10+'Станд.норм.распр.'!G101*$B$12+M107</f>
        <v>52772.803234656327</v>
      </c>
      <c r="N108" s="2">
        <f>$E108*$B$11+$B$10+'Станд.норм.распр.'!H101*$B$12+N107</f>
        <v>52767.114757419025</v>
      </c>
      <c r="O108" s="2">
        <f>$E108*$B$11+$B$10+'Станд.норм.распр.'!I101*$B$12+O107</f>
        <v>52769.619206967807</v>
      </c>
      <c r="P108" s="2">
        <f>$E108*$B$11+$B$10+'Станд.норм.распр.'!J101*$B$12+P107</f>
        <v>52775.166563990657</v>
      </c>
      <c r="Q108" s="2">
        <f>$E108*$B$11+$B$10+'Станд.норм.распр.'!K101*$B$12+Q107</f>
        <v>52769.031858563525</v>
      </c>
    </row>
    <row r="109" spans="3:17" x14ac:dyDescent="0.35">
      <c r="C109" s="4" t="s">
        <v>108</v>
      </c>
      <c r="D109" s="4" t="s">
        <v>5</v>
      </c>
      <c r="E109" s="4">
        <v>629</v>
      </c>
      <c r="F109" s="4"/>
      <c r="G109" s="4" t="s">
        <v>5</v>
      </c>
      <c r="H109" s="2">
        <f>$E109*$B$11+$B$10+'Станд.норм.распр.'!B102*$B$12+H108</f>
        <v>53401.000000000815</v>
      </c>
      <c r="I109" s="2">
        <f>$E109*$B$11+$B$10+'Станд.норм.распр.'!C102*$B$12+I108</f>
        <v>53400.999999999978</v>
      </c>
      <c r="J109" s="2">
        <f>$E109*$B$11+$B$10+'Станд.норм.распр.'!D102*$B$12+J108</f>
        <v>53400.999999998974</v>
      </c>
      <c r="K109" s="2">
        <f>$E109*$B$11+$B$10+'Станд.норм.распр.'!E102*$B$12+K108</f>
        <v>53400.999999999614</v>
      </c>
      <c r="L109" s="2">
        <f>$E109*$B$11+$B$10+'Станд.норм.распр.'!F102*$B$12+L108</f>
        <v>53401.000000000648</v>
      </c>
      <c r="M109" s="2">
        <f>$E109*$B$11+$B$10+'Станд.норм.распр.'!G102*$B$12+M108</f>
        <v>53401.000000000327</v>
      </c>
      <c r="N109" s="2">
        <f>$E109*$B$11+$B$10+'Станд.норм.распр.'!H102*$B$12+N108</f>
        <v>53401.000000000029</v>
      </c>
      <c r="O109" s="2">
        <f>$E109*$B$11+$B$10+'Станд.норм.распр.'!I102*$B$12+O108</f>
        <v>53401.000000000808</v>
      </c>
      <c r="P109" s="2">
        <f>$E109*$B$11+$B$10+'Станд.норм.распр.'!J102*$B$12+P108</f>
        <v>53400.999999999658</v>
      </c>
      <c r="Q109" s="2">
        <f>$E109*$B$11+$B$10+'Станд.норм.распр.'!K102*$B$12+Q108</f>
        <v>53400.999999999527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Станд.норм.распр.</vt:lpstr>
      <vt:lpstr>Задание</vt:lpstr>
      <vt:lpstr>1.</vt:lpstr>
      <vt:lpstr>2.</vt:lpstr>
      <vt:lpstr>3.</vt:lpstr>
      <vt:lpstr>4.</vt:lpstr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Щепетова Светлана Евгеньевна</dc:creator>
  <cp:lastModifiedBy>Иван Тищенко</cp:lastModifiedBy>
  <dcterms:created xsi:type="dcterms:W3CDTF">2016-09-14T17:29:31Z</dcterms:created>
  <dcterms:modified xsi:type="dcterms:W3CDTF">2026-02-11T17:33:42Z</dcterms:modified>
</cp:coreProperties>
</file>